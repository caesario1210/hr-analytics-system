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O\PORTOFOLIO\HR Analyst System\dashboard\"/>
    </mc:Choice>
  </mc:AlternateContent>
  <xr:revisionPtr revIDLastSave="0" documentId="13_ncr:1_{8C93485A-253A-4157-A36B-35628922C9D3}" xr6:coauthVersionLast="47" xr6:coauthVersionMax="47" xr10:uidLastSave="{00000000-0000-0000-0000-000000000000}"/>
  <bookViews>
    <workbookView xWindow="-108" yWindow="-108" windowWidth="23256" windowHeight="12456" xr2:uid="{B6A58AF5-287F-4AA4-973C-F0951EC2C9A7}"/>
  </bookViews>
  <sheets>
    <sheet name="Employee Overview " sheetId="1" r:id="rId1"/>
    <sheet name="Payroll" sheetId="3" r:id="rId2"/>
    <sheet name="Attendance" sheetId="4" r:id="rId3"/>
    <sheet name="Recruitment" sheetId="6" r:id="rId4"/>
    <sheet name=" Performance" sheetId="7" r:id="rId5"/>
  </sheets>
  <definedNames>
    <definedName name="_xlchart.v2.0" hidden="1">Attendance!$M$1</definedName>
    <definedName name="_xlchart.v2.1" hidden="1">Attendance!$M$2:$M$11</definedName>
    <definedName name="_xlchart.v2.10" hidden="1">Attendance!$N$1</definedName>
    <definedName name="_xlchart.v2.11" hidden="1">Attendance!$N$2:$N$11</definedName>
    <definedName name="_xlchart.v2.2" hidden="1">Attendance!$N$1</definedName>
    <definedName name="_xlchart.v2.3" hidden="1">Attendance!$N$2:$N$11</definedName>
    <definedName name="_xlchart.v2.4" hidden="1">Attendance!$M$1</definedName>
    <definedName name="_xlchart.v2.5" hidden="1">Attendance!$M$2:$M$11</definedName>
    <definedName name="_xlchart.v2.6" hidden="1">Attendance!$N$1</definedName>
    <definedName name="_xlchart.v2.7" hidden="1">Attendance!$N$2:$N$11</definedName>
    <definedName name="_xlchart.v2.8" hidden="1">Attendance!$M$1</definedName>
    <definedName name="_xlchart.v2.9" hidden="1">Attendance!$M$2:$M$11</definedName>
    <definedName name="ExternalData_1" localSheetId="4" hidden="1">' Performance'!$E$1:$G$5</definedName>
    <definedName name="ExternalData_1" localSheetId="2" hidden="1">Attendance!$E$1:$G$5</definedName>
    <definedName name="ExternalData_1" localSheetId="0" hidden="1">'Employee Overview '!$D$1:$E$9</definedName>
    <definedName name="ExternalData_1" localSheetId="1" hidden="1">Payroll!$E$1:$F$4</definedName>
    <definedName name="ExternalData_1" localSheetId="3" hidden="1">Recruitment!$E$1:$F$5</definedName>
    <definedName name="ExternalData_2" localSheetId="4" hidden="1">' Performance'!$I$1:$M$11</definedName>
    <definedName name="ExternalData_2" localSheetId="2" hidden="1">Attendance!$I$1:$K$21</definedName>
    <definedName name="ExternalData_2" localSheetId="0" hidden="1">'Employee Overview '!$H$1:$J$3</definedName>
    <definedName name="ExternalData_2" localSheetId="1" hidden="1">Payroll!$I$1:$L$9</definedName>
    <definedName name="ExternalData_2" localSheetId="3" hidden="1">Recruitment!$H$1:$K$6</definedName>
    <definedName name="ExternalData_3" localSheetId="4" hidden="1">' Performance'!$N$1:$R$11</definedName>
    <definedName name="ExternalData_3" localSheetId="2" hidden="1">Attendance!$L$1:$N$11</definedName>
    <definedName name="ExternalData_3" localSheetId="0" hidden="1">'Employee Overview '!$K$1:$L$4</definedName>
    <definedName name="ExternalData_3" localSheetId="1" hidden="1">Payroll!$M$1:$O$11</definedName>
    <definedName name="ExternalData_3" localSheetId="3" hidden="1">Recruitment!$L$1:$M$2</definedName>
    <definedName name="ExternalData_4" localSheetId="4" hidden="1">' Performance'!$T$1:$V$10</definedName>
  </definedName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5" i="4"/>
  <c r="B4" i="4"/>
  <c r="B5" i="6"/>
  <c r="B4" i="7"/>
  <c r="B6" i="6"/>
  <c r="B3" i="6"/>
  <c r="B4" i="6"/>
  <c r="B6" i="1"/>
  <c r="B5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97416-1AE6-4C2F-B813-EE57FED3536B}" keepAlive="1" name="Query - attendance_late" description="Connection to the 'attendance_late' query in the workbook." type="5" refreshedVersion="8" background="1" saveData="1">
    <dbPr connection="Provider=Microsoft.Mashup.OleDb.1;Data Source=$Workbook$;Location=attendance_late;Extended Properties=&quot;&quot;" command="SELECT * FROM [attendance_late]"/>
  </connection>
  <connection id="2" xr16:uid="{EF5C2293-C47F-409F-A6FB-70B3D4097B9C}" keepAlive="1" name="Query - attendance_monthly" description="Connection to the 'attendance_monthly' query in the workbook." type="5" refreshedVersion="8" background="1" saveData="1">
    <dbPr connection="Provider=Microsoft.Mashup.OleDb.1;Data Source=$Workbook$;Location=attendance_monthly;Extended Properties=&quot;&quot;" command="SELECT * FROM [attendance_monthly]"/>
  </connection>
  <connection id="3" xr16:uid="{30B5A641-FA08-4042-BEF6-98A5AEB77E7C}" keepAlive="1" name="Query - attendance_status" description="Connection to the 'attendance_status' query in the workbook." type="5" refreshedVersion="8" background="1" saveData="1">
    <dbPr connection="Provider=Microsoft.Mashup.OleDb.1;Data Source=$Workbook$;Location=attendance_status;Extended Properties=&quot;&quot;" command="SELECT * FROM [attendance_status]"/>
  </connection>
  <connection id="4" xr16:uid="{CD3E3C70-4628-437F-8E40-602ED8295331}" keepAlive="1" name="Query - emp_department (2)" description="Connection to the 'emp_department (2)' query in the workbook." type="5" refreshedVersion="8" background="1" saveData="1">
    <dbPr connection="Provider=Microsoft.Mashup.OleDb.1;Data Source=$Workbook$;Location=&quot;emp_department (2)&quot;;Extended Properties=&quot;&quot;" command="SELECT * FROM [emp_department (2)]"/>
  </connection>
  <connection id="5" xr16:uid="{8E0E5914-700F-464A-A358-B30163155C9C}" keepAlive="1" name="Query - emp_gender" description="Connection to the 'emp_gender' query in the workbook." type="5" refreshedVersion="8" background="1" saveData="1">
    <dbPr connection="Provider=Microsoft.Mashup.OleDb.1;Data Source=$Workbook$;Location=emp_gender;Extended Properties=&quot;&quot;" command="SELECT * FROM [emp_gender]"/>
  </connection>
  <connection id="6" xr16:uid="{1FB89A76-A6BC-483F-A81E-9221D18F2DD7}" keepAlive="1" name="Query - emp_status" description="Connection to the 'emp_status' query in the workbook." type="5" refreshedVersion="8" background="1" saveData="1">
    <dbPr connection="Provider=Microsoft.Mashup.OleDb.1;Data Source=$Workbook$;Location=emp_status;Extended Properties=&quot;&quot;" command="SELECT * FROM [emp_status]"/>
  </connection>
  <connection id="7" xr16:uid="{559F2CF7-7DB6-4495-A682-7F35FAEF405F}" keepAlive="1" name="Query - payroll_department" description="Connection to the 'payroll_department' query in the workbook." type="5" refreshedVersion="0" background="1">
    <dbPr connection="Provider=Microsoft.Mashup.OleDb.1;Data Source=$Workbook$;Location=payroll_department;Extended Properties=&quot;&quot;" command="SELECT * FROM [payroll_department]"/>
  </connection>
  <connection id="8" xr16:uid="{507BE73F-BE31-481A-8061-332834C0693C}" keepAlive="1" name="Query - payroll_department (2)" description="Connection to the 'payroll_department (2)' query in the workbook." type="5" refreshedVersion="8" background="1" saveData="1">
    <dbPr connection="Provider=Microsoft.Mashup.OleDb.1;Data Source=$Workbook$;Location=&quot;payroll_department (2)&quot;;Extended Properties=&quot;&quot;" command="SELECT * FROM [payroll_department (2)]"/>
  </connection>
  <connection id="9" xr16:uid="{F1D8FDF7-37B8-453A-9CC1-BCA7D4ED7B8D}" keepAlive="1" name="Query - payroll_overall" description="Connection to the 'payroll_overall' query in the workbook." type="5" refreshedVersion="0" background="1">
    <dbPr connection="Provider=Microsoft.Mashup.OleDb.1;Data Source=$Workbook$;Location=payroll_overall;Extended Properties=&quot;&quot;" command="SELECT * FROM [payroll_overall]"/>
  </connection>
  <connection id="10" xr16:uid="{188B17E0-AA4F-40FA-987F-3BE4FC232E4D}" keepAlive="1" name="Query - payroll_overall (2)" description="Connection to the 'payroll_overall (2)' query in the workbook." type="5" refreshedVersion="8" background="1" saveData="1">
    <dbPr connection="Provider=Microsoft.Mashup.OleDb.1;Data Source=$Workbook$;Location=&quot;payroll_overall (2)&quot;;Extended Properties=&quot;&quot;" command="SELECT * FROM [payroll_overall (2)]"/>
  </connection>
  <connection id="11" xr16:uid="{A9B00B4E-A9E9-44B3-A3EC-EB770AF5957B}" keepAlive="1" name="Query - payroll_top10" description="Connection to the 'payroll_top10' query in the workbook." type="5" refreshedVersion="0" background="1">
    <dbPr connection="Provider=Microsoft.Mashup.OleDb.1;Data Source=$Workbook$;Location=payroll_top10;Extended Properties=&quot;&quot;" command="SELECT * FROM [payroll_top10]"/>
  </connection>
  <connection id="12" xr16:uid="{4FA90D33-1A66-4F85-A7BD-883E54D1B596}" keepAlive="1" name="Query - payroll_top10 (2)" description="Connection to the 'payroll_top10 (2)' query in the workbook." type="5" refreshedVersion="8" background="1" saveData="1">
    <dbPr connection="Provider=Microsoft.Mashup.OleDb.1;Data Source=$Workbook$;Location=&quot;payroll_top10 (2)&quot;;Extended Properties=&quot;&quot;" command="SELECT * FROM [payroll_top10 (2)]"/>
  </connection>
  <connection id="13" xr16:uid="{FB5067C6-289C-4409-BDB8-46469450BF56}" keepAlive="1" name="Query - performance_bottom10" description="Connection to the 'performance_bottom10' query in the workbook." type="5" refreshedVersion="8" background="1" saveData="1">
    <dbPr connection="Provider=Microsoft.Mashup.OleDb.1;Data Source=$Workbook$;Location=performance_bottom10;Extended Properties=&quot;&quot;" command="SELECT * FROM [performance_bottom10]"/>
  </connection>
  <connection id="14" xr16:uid="{120E2200-98C4-4A26-8281-E9AB8A8A2980}" keepAlive="1" name="Query - performance_period" description="Connection to the 'performance_period' query in the workbook." type="5" refreshedVersion="8" background="1" saveData="1">
    <dbPr connection="Provider=Microsoft.Mashup.OleDb.1;Data Source=$Workbook$;Location=performance_period;Extended Properties=&quot;&quot;" command="SELECT * FROM [performance_period]"/>
  </connection>
  <connection id="15" xr16:uid="{60EF5A29-03EF-4076-9919-6C6CAFC2401E}" keepAlive="1" name="Query - performance_top10" description="Connection to the 'performance_top10' query in the workbook." type="5" refreshedVersion="8" background="1" saveData="1">
    <dbPr connection="Provider=Microsoft.Mashup.OleDb.1;Data Source=$Workbook$;Location=performance_top10;Extended Properties=&quot;&quot;" command="SELECT * FROM [performance_top10]"/>
  </connection>
  <connection id="16" xr16:uid="{250213B1-4835-4F8D-8C15-C636CAFB6A43}" keepAlive="1" name="Query - recruitment_funnel" description="Connection to the 'recruitment_funnel' query in the workbook." type="5" refreshedVersion="8" background="1" saveData="1">
    <dbPr connection="Provider=Microsoft.Mashup.OleDb.1;Data Source=$Workbook$;Location=recruitment_funnel;Extended Properties=&quot;&quot;" command="SELECT * FROM [recruitment_funnel]"/>
  </connection>
  <connection id="17" xr16:uid="{B92546CC-F4EE-4DD6-B136-9EA10A250442}" keepAlive="1" name="Query - recruitment_source" description="Connection to the 'recruitment_source' query in the workbook." type="5" refreshedVersion="8" background="1" saveData="1">
    <dbPr connection="Provider=Microsoft.Mashup.OleDb.1;Data Source=$Workbook$;Location=recruitment_source;Extended Properties=&quot;&quot;" command="SELECT * FROM [recruitment_source]"/>
  </connection>
  <connection id="18" xr16:uid="{7A6FC8C7-5B06-49A5-8574-38C97D053579}" keepAlive="1" name="Query - recruitment_timetohire" description="Connection to the 'recruitment_timetohire' query in the workbook." type="5" refreshedVersion="8" background="1" saveData="1">
    <dbPr connection="Provider=Microsoft.Mashup.OleDb.1;Data Source=$Workbook$;Location=recruitment_timetohire;Extended Properties=&quot;&quot;" command="SELECT * FROM [recruitment_timetohire]"/>
  </connection>
  <connection id="19" xr16:uid="{9D945229-584B-4113-9FCB-09D351520E68}" keepAlive="1" name="Query - training_course_avg" description="Connection to the 'training_course_avg' query in the workbook." type="5" refreshedVersion="8" background="1" saveData="1">
    <dbPr connection="Provider=Microsoft.Mashup.OleDb.1;Data Source=$Workbook$;Location=training_course_avg;Extended Properties=&quot;&quot;" command="SELECT * FROM [training_course_avg]"/>
  </connection>
</connections>
</file>

<file path=xl/sharedStrings.xml><?xml version="1.0" encoding="utf-8"?>
<sst xmlns="http://schemas.openxmlformats.org/spreadsheetml/2006/main" count="227" uniqueCount="138">
  <si>
    <t xml:space="preserve">Employee Overview </t>
  </si>
  <si>
    <t>Total Employees</t>
  </si>
  <si>
    <t>Active</t>
  </si>
  <si>
    <t>% Active</t>
  </si>
  <si>
    <t>Turnover Rate</t>
  </si>
  <si>
    <t>department_name</t>
  </si>
  <si>
    <t>total_employees</t>
  </si>
  <si>
    <t>Admin</t>
  </si>
  <si>
    <t>Marketing</t>
  </si>
  <si>
    <t>Legal</t>
  </si>
  <si>
    <t>IT</t>
  </si>
  <si>
    <t>Operations</t>
  </si>
  <si>
    <t>Finance</t>
  </si>
  <si>
    <t>HR</t>
  </si>
  <si>
    <t>Sales</t>
  </si>
  <si>
    <t>gender</t>
  </si>
  <si>
    <t>total</t>
  </si>
  <si>
    <t>percentage</t>
  </si>
  <si>
    <t>Male</t>
  </si>
  <si>
    <t>Female</t>
  </si>
  <si>
    <t>status</t>
  </si>
  <si>
    <t>Resigned</t>
  </si>
  <si>
    <t>Terminated</t>
  </si>
  <si>
    <t>metric</t>
  </si>
  <si>
    <t>value</t>
  </si>
  <si>
    <t>mean</t>
  </si>
  <si>
    <t>min</t>
  </si>
  <si>
    <t>max</t>
  </si>
  <si>
    <t>full_name</t>
  </si>
  <si>
    <t>salary</t>
  </si>
  <si>
    <t>Craig Morrison</t>
  </si>
  <si>
    <t>Anthony Frye</t>
  </si>
  <si>
    <t>Madison Marshall</t>
  </si>
  <si>
    <t>Jennifer Jones</t>
  </si>
  <si>
    <t>Elizabeth Walker</t>
  </si>
  <si>
    <t>Jay Cox</t>
  </si>
  <si>
    <t>Michael Snyder</t>
  </si>
  <si>
    <t>Denise Jones</t>
  </si>
  <si>
    <t>Michael Henry</t>
  </si>
  <si>
    <t>Angela Murray</t>
  </si>
  <si>
    <t>PAYROLL OVERVIEW</t>
  </si>
  <si>
    <t>Average Salary</t>
  </si>
  <si>
    <t>Minimum Salary</t>
  </si>
  <si>
    <t>Maximum Salary</t>
  </si>
  <si>
    <t>ATTENDANCE OVERVIEW</t>
  </si>
  <si>
    <t>Present Rate</t>
  </si>
  <si>
    <t>Sick Rate</t>
  </si>
  <si>
    <t>Absent Rate</t>
  </si>
  <si>
    <t>Present</t>
  </si>
  <si>
    <t>Sick</t>
  </si>
  <si>
    <t>Leave</t>
  </si>
  <si>
    <t>Absent</t>
  </si>
  <si>
    <t>month</t>
  </si>
  <si>
    <t>employee_id</t>
  </si>
  <si>
    <t>late_days</t>
  </si>
  <si>
    <t>Jacob Winters DDS</t>
  </si>
  <si>
    <t>Walter Rush</t>
  </si>
  <si>
    <t>Jason Olson</t>
  </si>
  <si>
    <t>Joshua Morrison</t>
  </si>
  <si>
    <t>Carla Kelly</t>
  </si>
  <si>
    <t>Holly Fitzpatrick</t>
  </si>
  <si>
    <t>Kiara Coleman</t>
  </si>
  <si>
    <t>Kevin Duarte</t>
  </si>
  <si>
    <t>James Vega</t>
  </si>
  <si>
    <t>Jason Davis</t>
  </si>
  <si>
    <t>Row Labels</t>
  </si>
  <si>
    <t>Grand Total</t>
  </si>
  <si>
    <t>Jan</t>
  </si>
  <si>
    <t>Feb</t>
  </si>
  <si>
    <t>Mar</t>
  </si>
  <si>
    <t>Apr</t>
  </si>
  <si>
    <t>May</t>
  </si>
  <si>
    <t>Column Labels</t>
  </si>
  <si>
    <t>Sum of total</t>
  </si>
  <si>
    <t>RECRUITMENT OVERVIEW</t>
  </si>
  <si>
    <t>Total Candidates</t>
  </si>
  <si>
    <t>Hired</t>
  </si>
  <si>
    <t>Hire Rate</t>
  </si>
  <si>
    <t>Avg Days to Hire</t>
  </si>
  <si>
    <t>candidates</t>
  </si>
  <si>
    <t>Applied</t>
  </si>
  <si>
    <t>Interviewed</t>
  </si>
  <si>
    <t>Rejected</t>
  </si>
  <si>
    <t>source</t>
  </si>
  <si>
    <t>hired</t>
  </si>
  <si>
    <t>hire_rate_percent</t>
  </si>
  <si>
    <t>Referral</t>
  </si>
  <si>
    <t>Company Website</t>
  </si>
  <si>
    <t>LinkedIn</t>
  </si>
  <si>
    <t>University</t>
  </si>
  <si>
    <t>Job Portal</t>
  </si>
  <si>
    <t>avg_days_to_hire</t>
  </si>
  <si>
    <t>PERFORMANCE OVERVIEW</t>
  </si>
  <si>
    <t>Avg KPI Score</t>
  </si>
  <si>
    <t>Top Performer Score</t>
  </si>
  <si>
    <t>Lowest Performer Score</t>
  </si>
  <si>
    <t>period</t>
  </si>
  <si>
    <t>kpi_score</t>
  </si>
  <si>
    <t>manager_score</t>
  </si>
  <si>
    <t>2025-Q1</t>
  </si>
  <si>
    <t>2025-Q2</t>
  </si>
  <si>
    <t>2025-Q3</t>
  </si>
  <si>
    <t>2025-Q4</t>
  </si>
  <si>
    <t>75.4</t>
  </si>
  <si>
    <t>avg_kpi</t>
  </si>
  <si>
    <t>rank</t>
  </si>
  <si>
    <t>Frederick Solis</t>
  </si>
  <si>
    <t>Barbara Walker</t>
  </si>
  <si>
    <t>Peter Ruiz</t>
  </si>
  <si>
    <t>Melanie White</t>
  </si>
  <si>
    <t>Jody Jacobs</t>
  </si>
  <si>
    <t>Donald Washington</t>
  </si>
  <si>
    <t>Joel King</t>
  </si>
  <si>
    <t>Katie Rodriguez</t>
  </si>
  <si>
    <t>Jared Sanchez</t>
  </si>
  <si>
    <t>Edward Spence DDS</t>
  </si>
  <si>
    <t>Dwayne Campbell</t>
  </si>
  <si>
    <t>Michael Travis</t>
  </si>
  <si>
    <t>Jason Peters</t>
  </si>
  <si>
    <t>Bryan Duran DDS</t>
  </si>
  <si>
    <t>George Harper</t>
  </si>
  <si>
    <t>Katrina Bullock</t>
  </si>
  <si>
    <t>William Huerta</t>
  </si>
  <si>
    <t>Lisa Perry</t>
  </si>
  <si>
    <t>Lisa Robbins</t>
  </si>
  <si>
    <t>Joshua Perry</t>
  </si>
  <si>
    <t>course_name</t>
  </si>
  <si>
    <t>participants</t>
  </si>
  <si>
    <t>avg_score</t>
  </si>
  <si>
    <t>Data Literacy</t>
  </si>
  <si>
    <t>Leadership Essentials</t>
  </si>
  <si>
    <t>Cloud Computing</t>
  </si>
  <si>
    <t>Conflict Resolution</t>
  </si>
  <si>
    <t>Advanced Excel</t>
  </si>
  <si>
    <t>Communication Skills</t>
  </si>
  <si>
    <t>Time Management</t>
  </si>
  <si>
    <t>Project Management</t>
  </si>
  <si>
    <t>Public 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</si>
</sst>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6"/>
      <color rgb="FFFFFFFF"/>
      <name val="Calibri"/>
      <family val="2"/>
      <scheme val="minor"/>
    </font>
    <font>
      <b/>
      <sz val="16"/>
      <color rgb="FFECECEC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NumberFormat="1" applyFont="1" applyFill="1"/>
    <xf numFmtId="0" fontId="5" fillId="0" borderId="1" xfId="0" applyFont="1" applyBorder="1"/>
    <xf numFmtId="10" fontId="5" fillId="0" borderId="1" xfId="1" applyNumberFormat="1" applyFont="1" applyBorder="1"/>
    <xf numFmtId="0" fontId="5" fillId="0" borderId="1" xfId="0" applyNumberFormat="1" applyFont="1" applyBorder="1"/>
    <xf numFmtId="42" fontId="5" fillId="0" borderId="1" xfId="0" applyNumberFormat="1" applyFont="1" applyBorder="1"/>
    <xf numFmtId="9" fontId="5" fillId="0" borderId="1" xfId="0" applyNumberFormat="1" applyFont="1" applyBorder="1"/>
  </cellXfs>
  <cellStyles count="2">
    <cellStyle name="Normal" xfId="0" builtinId="0"/>
    <cellStyle name="Percent" xfId="1" builtinId="5"/>
  </cellStyles>
  <dxfs count="39"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ECECEC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ECECEC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ECECEC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0" formatCode="General"/>
    </dxf>
    <dxf>
      <font>
        <b val="0"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font>
        <b val="0"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FF"/>
      <color rgb="FFECECEC"/>
      <color rgb="FF1E3A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</a:t>
            </a:r>
            <a:r>
              <a:rPr lang="en-US" baseline="0"/>
              <a:t> per Departement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Overview '!$E$1</c:f>
              <c:strCache>
                <c:ptCount val="1"/>
                <c:pt idx="0">
                  <c:v>total_employees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'Employee Overview '!$D$2:$D$9</c:f>
              <c:strCache>
                <c:ptCount val="8"/>
                <c:pt idx="0">
                  <c:v>Admin</c:v>
                </c:pt>
                <c:pt idx="1">
                  <c:v>Marketing</c:v>
                </c:pt>
                <c:pt idx="2">
                  <c:v>Legal</c:v>
                </c:pt>
                <c:pt idx="3">
                  <c:v>IT</c:v>
                </c:pt>
                <c:pt idx="4">
                  <c:v>Operations</c:v>
                </c:pt>
                <c:pt idx="5">
                  <c:v>Finance</c:v>
                </c:pt>
                <c:pt idx="6">
                  <c:v>HR</c:v>
                </c:pt>
                <c:pt idx="7">
                  <c:v>Sales</c:v>
                </c:pt>
              </c:strCache>
            </c:strRef>
          </c:cat>
          <c:val>
            <c:numRef>
              <c:f>'Employee Overview '!$E$2:$E$9</c:f>
              <c:numCache>
                <c:formatCode>General</c:formatCode>
                <c:ptCount val="8"/>
                <c:pt idx="0">
                  <c:v>51</c:v>
                </c:pt>
                <c:pt idx="1">
                  <c:v>44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36</c:v>
                </c:pt>
                <c:pt idx="6">
                  <c:v>28</c:v>
                </c:pt>
                <c:pt idx="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4-4BB5-A1DF-349778705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656640"/>
        <c:axId val="65971328"/>
      </c:barChart>
      <c:catAx>
        <c:axId val="12365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71328"/>
        <c:crosses val="autoZero"/>
        <c:auto val="1"/>
        <c:lblAlgn val="ctr"/>
        <c:lblOffset val="100"/>
        <c:noMultiLvlLbl val="0"/>
      </c:catAx>
      <c:valAx>
        <c:axId val="6597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5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Gender Composition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'Employee Overview '!$I$1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'Employee Overview '!$H$2:$H$3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'Employee Overview '!$I$2:$I$3</c:f>
              <c:numCache>
                <c:formatCode>General</c:formatCode>
                <c:ptCount val="2"/>
                <c:pt idx="0">
                  <c:v>138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2-4474-8691-F724635E16B3}"/>
            </c:ext>
          </c:extLst>
        </c:ser>
        <c:ser>
          <c:idx val="1"/>
          <c:order val="1"/>
          <c:tx>
            <c:strRef>
              <c:f>'Employee Overview '!$J$1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'Employee Overview '!$H$2:$H$3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'Employee Overview '!$J$2:$J$3</c:f>
              <c:numCache>
                <c:formatCode>General</c:formatCode>
                <c:ptCount val="2"/>
                <c:pt idx="0">
                  <c:v>5267</c:v>
                </c:pt>
                <c:pt idx="1">
                  <c:v>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32-4474-8691-F724635E1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'Employee Overview '!$L$1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'Employee Overview '!$K$2:$K$4</c:f>
              <c:strCache>
                <c:ptCount val="3"/>
                <c:pt idx="0">
                  <c:v>Active</c:v>
                </c:pt>
                <c:pt idx="1">
                  <c:v>Resigned</c:v>
                </c:pt>
                <c:pt idx="2">
                  <c:v>Terminated</c:v>
                </c:pt>
              </c:strCache>
            </c:strRef>
          </c:cat>
          <c:val>
            <c:numRef>
              <c:f>'Employee Overview '!$L$2:$L$4</c:f>
              <c:numCache>
                <c:formatCode>General</c:formatCode>
                <c:ptCount val="3"/>
                <c:pt idx="0">
                  <c:v>262</c:v>
                </c:pt>
                <c:pt idx="1">
                  <c:v>28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0-49B7-9A68-B690EDA06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Payroll!$J$1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Payroll!$I$2:$I$9</c:f>
              <c:strCache>
                <c:ptCount val="8"/>
                <c:pt idx="0">
                  <c:v>Legal</c:v>
                </c:pt>
                <c:pt idx="1">
                  <c:v>Sales</c:v>
                </c:pt>
                <c:pt idx="2">
                  <c:v>Finance</c:v>
                </c:pt>
                <c:pt idx="3">
                  <c:v>Marketing</c:v>
                </c:pt>
                <c:pt idx="4">
                  <c:v>IT</c:v>
                </c:pt>
                <c:pt idx="5">
                  <c:v>HR</c:v>
                </c:pt>
                <c:pt idx="6">
                  <c:v>Operations</c:v>
                </c:pt>
                <c:pt idx="7">
                  <c:v>Admin</c:v>
                </c:pt>
              </c:strCache>
            </c:strRef>
          </c:cat>
          <c:val>
            <c:numRef>
              <c:f>Payroll!$J$2:$J$9</c:f>
              <c:numCache>
                <c:formatCode>General</c:formatCode>
                <c:ptCount val="8"/>
                <c:pt idx="0">
                  <c:v>2396624242</c:v>
                </c:pt>
                <c:pt idx="1">
                  <c:v>1443586364</c:v>
                </c:pt>
                <c:pt idx="2">
                  <c:v>1351793103</c:v>
                </c:pt>
                <c:pt idx="3">
                  <c:v>1319541667</c:v>
                </c:pt>
                <c:pt idx="4">
                  <c:v>1242094444</c:v>
                </c:pt>
                <c:pt idx="5">
                  <c:v>104570000</c:v>
                </c:pt>
                <c:pt idx="6">
                  <c:v>936657143</c:v>
                </c:pt>
                <c:pt idx="7">
                  <c:v>902280435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F-41CC-8D02-AC9B5B216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697008"/>
        <c:axId val="2109929280"/>
      </c:barChart>
      <c:catAx>
        <c:axId val="123697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29280"/>
        <c:crosses val="autoZero"/>
        <c:auto val="1"/>
        <c:lblAlgn val="ctr"/>
        <c:lblOffset val="100"/>
        <c:noMultiLvlLbl val="0"/>
      </c:catAx>
      <c:valAx>
        <c:axId val="210992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9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Paid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Payroll!$O$1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Payroll!$M$2:$M$11</c:f>
              <c:strCache>
                <c:ptCount val="10"/>
                <c:pt idx="0">
                  <c:v>Craig Morrison</c:v>
                </c:pt>
                <c:pt idx="1">
                  <c:v>Anthony Frye</c:v>
                </c:pt>
                <c:pt idx="2">
                  <c:v>Madison Marshall</c:v>
                </c:pt>
                <c:pt idx="3">
                  <c:v>Jennifer Jones</c:v>
                </c:pt>
                <c:pt idx="4">
                  <c:v>Elizabeth Walker</c:v>
                </c:pt>
                <c:pt idx="5">
                  <c:v>Jay Cox</c:v>
                </c:pt>
                <c:pt idx="6">
                  <c:v>Michael Snyder</c:v>
                </c:pt>
                <c:pt idx="7">
                  <c:v>Denise Jones</c:v>
                </c:pt>
                <c:pt idx="8">
                  <c:v>Michael Henry</c:v>
                </c:pt>
                <c:pt idx="9">
                  <c:v>Angela Murray</c:v>
                </c:pt>
              </c:strCache>
            </c:strRef>
          </c:cat>
          <c:val>
            <c:numRef>
              <c:f>Payroll!$O$2:$O$11</c:f>
              <c:numCache>
                <c:formatCode>General</c:formatCode>
                <c:ptCount val="10"/>
                <c:pt idx="0">
                  <c:v>353240000</c:v>
                </c:pt>
                <c:pt idx="1">
                  <c:v>351260000</c:v>
                </c:pt>
                <c:pt idx="2">
                  <c:v>346210000</c:v>
                </c:pt>
                <c:pt idx="3">
                  <c:v>342940000</c:v>
                </c:pt>
                <c:pt idx="4">
                  <c:v>338620000</c:v>
                </c:pt>
                <c:pt idx="5">
                  <c:v>331810000</c:v>
                </c:pt>
                <c:pt idx="6">
                  <c:v>327130000</c:v>
                </c:pt>
                <c:pt idx="7">
                  <c:v>312360000</c:v>
                </c:pt>
                <c:pt idx="8">
                  <c:v>311980000</c:v>
                </c:pt>
                <c:pt idx="9">
                  <c:v>306390000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3-46FF-AF80-CD917E4FD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677056"/>
        <c:axId val="225372832"/>
      </c:barChart>
      <c:catAx>
        <c:axId val="12367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72832"/>
        <c:crosses val="autoZero"/>
        <c:auto val="1"/>
        <c:lblAlgn val="ctr"/>
        <c:lblOffset val="100"/>
        <c:noMultiLvlLbl val="0"/>
      </c:catAx>
      <c:valAx>
        <c:axId val="2253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7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Attendance!$G$1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E-44E5-9DE6-B34C8F22FD73}"/>
              </c:ext>
            </c:extLst>
          </c:dPt>
          <c:dPt>
            <c:idx val="1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B4E-44E5-9DE6-B34C8F22FD73}"/>
              </c:ext>
            </c:extLst>
          </c:dPt>
          <c:dPt>
            <c:idx val="2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E-44E5-9DE6-B34C8F22FD73}"/>
              </c:ext>
            </c:extLst>
          </c:dPt>
          <c:dPt>
            <c:idx val="3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B4E-44E5-9DE6-B34C8F22FD73}"/>
              </c:ext>
            </c:extLst>
          </c:dPt>
          <c:cat>
            <c:strRef>
              <c:f>Attendance!$E$2:$E$5</c:f>
              <c:strCache>
                <c:ptCount val="4"/>
                <c:pt idx="0">
                  <c:v>Present</c:v>
                </c:pt>
                <c:pt idx="1">
                  <c:v>Sick</c:v>
                </c:pt>
                <c:pt idx="2">
                  <c:v>Leave</c:v>
                </c:pt>
                <c:pt idx="3">
                  <c:v>Absent</c:v>
                </c:pt>
              </c:strCache>
            </c:strRef>
          </c:cat>
          <c:val>
            <c:numRef>
              <c:f>Attendance!$G$2:$G$5</c:f>
              <c:numCache>
                <c:formatCode>General</c:formatCode>
                <c:ptCount val="4"/>
                <c:pt idx="0">
                  <c:v>7865</c:v>
                </c:pt>
                <c:pt idx="1">
                  <c:v>944</c:v>
                </c:pt>
                <c:pt idx="2">
                  <c:v>687</c:v>
                </c:pt>
                <c:pt idx="3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E-44E5-9DE6-B34C8F22F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[HR Dashboard.xlsx]Attendance!PivotTable8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58000"/>
              </a:schemeClr>
            </a:solidFill>
            <a:ln w="9525">
              <a:solidFill>
                <a:schemeClr val="accent2">
                  <a:shade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shade val="86000"/>
              </a:schemeClr>
            </a:solidFill>
            <a:ln w="9525">
              <a:solidFill>
                <a:schemeClr val="accent2">
                  <a:shade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86000"/>
              </a:schemeClr>
            </a:solidFill>
            <a:ln w="9525">
              <a:solidFill>
                <a:schemeClr val="accent2">
                  <a:tint val="8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tint val="58000"/>
              </a:schemeClr>
            </a:solidFill>
            <a:ln w="9525">
              <a:solidFill>
                <a:schemeClr val="accent2">
                  <a:tint val="58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Attendance!$J$23:$J$24</c:f>
              <c:strCache>
                <c:ptCount val="1"/>
                <c:pt idx="0">
                  <c:v>Absent</c:v>
                </c:pt>
              </c:strCache>
            </c:strRef>
          </c:tx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58000"/>
                </a:schemeClr>
              </a:solidFill>
              <a:ln w="9525">
                <a:solidFill>
                  <a:schemeClr val="accent2">
                    <a:shade val="58000"/>
                  </a:schemeClr>
                </a:solidFill>
              </a:ln>
              <a:effectLst/>
            </c:spPr>
          </c:marker>
          <c:cat>
            <c:strRef>
              <c:f>Attendance!$I$25:$I$30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Attendance!$J$25:$J$30</c:f>
              <c:numCache>
                <c:formatCode>General</c:formatCode>
                <c:ptCount val="5"/>
                <c:pt idx="0">
                  <c:v>337</c:v>
                </c:pt>
                <c:pt idx="1">
                  <c:v>318</c:v>
                </c:pt>
                <c:pt idx="2">
                  <c:v>323</c:v>
                </c:pt>
                <c:pt idx="3">
                  <c:v>306</c:v>
                </c:pt>
                <c:pt idx="4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2-4D09-BD0C-DE6A3A6FEBE6}"/>
            </c:ext>
          </c:extLst>
        </c:ser>
        <c:ser>
          <c:idx val="1"/>
          <c:order val="1"/>
          <c:tx>
            <c:strRef>
              <c:f>Attendance!$K$23:$K$24</c:f>
              <c:strCache>
                <c:ptCount val="1"/>
                <c:pt idx="0">
                  <c:v>Leave</c:v>
                </c:pt>
              </c:strCache>
            </c:strRef>
          </c:tx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shade val="86000"/>
                </a:schemeClr>
              </a:solidFill>
              <a:ln w="9525">
                <a:solidFill>
                  <a:schemeClr val="accent2">
                    <a:shade val="86000"/>
                  </a:schemeClr>
                </a:solidFill>
              </a:ln>
              <a:effectLst/>
            </c:spPr>
          </c:marker>
          <c:cat>
            <c:strRef>
              <c:f>Attendance!$I$25:$I$30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Attendance!$K$25:$K$30</c:f>
              <c:numCache>
                <c:formatCode>General</c:formatCode>
                <c:ptCount val="5"/>
                <c:pt idx="0">
                  <c:v>477</c:v>
                </c:pt>
                <c:pt idx="1">
                  <c:v>413</c:v>
                </c:pt>
                <c:pt idx="2">
                  <c:v>422</c:v>
                </c:pt>
                <c:pt idx="3">
                  <c:v>455</c:v>
                </c:pt>
                <c:pt idx="4">
                  <c:v>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2-4D09-BD0C-DE6A3A6FEBE6}"/>
            </c:ext>
          </c:extLst>
        </c:ser>
        <c:ser>
          <c:idx val="2"/>
          <c:order val="2"/>
          <c:tx>
            <c:strRef>
              <c:f>Attendance!$L$23:$L$24</c:f>
              <c:strCache>
                <c:ptCount val="1"/>
                <c:pt idx="0">
                  <c:v>Present</c:v>
                </c:pt>
              </c:strCache>
            </c:strRef>
          </c:tx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86000"/>
                </a:schemeClr>
              </a:solidFill>
              <a:ln w="9525">
                <a:solidFill>
                  <a:schemeClr val="accent2">
                    <a:tint val="86000"/>
                  </a:schemeClr>
                </a:solidFill>
              </a:ln>
              <a:effectLst/>
            </c:spPr>
          </c:marker>
          <c:cat>
            <c:strRef>
              <c:f>Attendance!$I$25:$I$30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Attendance!$L$25:$L$30</c:f>
              <c:numCache>
                <c:formatCode>General</c:formatCode>
                <c:ptCount val="5"/>
                <c:pt idx="0">
                  <c:v>5431</c:v>
                </c:pt>
                <c:pt idx="1">
                  <c:v>4721</c:v>
                </c:pt>
                <c:pt idx="2">
                  <c:v>4945</c:v>
                </c:pt>
                <c:pt idx="3">
                  <c:v>5237</c:v>
                </c:pt>
                <c:pt idx="4">
                  <c:v>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2-4D09-BD0C-DE6A3A6FEBE6}"/>
            </c:ext>
          </c:extLst>
        </c:ser>
        <c:ser>
          <c:idx val="3"/>
          <c:order val="3"/>
          <c:tx>
            <c:strRef>
              <c:f>Attendance!$M$23:$M$24</c:f>
              <c:strCache>
                <c:ptCount val="1"/>
                <c:pt idx="0">
                  <c:v>Sick</c:v>
                </c:pt>
              </c:strCache>
            </c:strRef>
          </c:tx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tint val="58000"/>
                </a:schemeClr>
              </a:solidFill>
              <a:ln w="9525">
                <a:solidFill>
                  <a:schemeClr val="accent2">
                    <a:tint val="58000"/>
                  </a:schemeClr>
                </a:solidFill>
              </a:ln>
              <a:effectLst/>
            </c:spPr>
          </c:marker>
          <c:cat>
            <c:strRef>
              <c:f>Attendance!$I$25:$I$30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Attendance!$M$25:$M$30</c:f>
              <c:numCache>
                <c:formatCode>General</c:formatCode>
                <c:ptCount val="5"/>
                <c:pt idx="0">
                  <c:v>655</c:v>
                </c:pt>
                <c:pt idx="1">
                  <c:v>548</c:v>
                </c:pt>
                <c:pt idx="2">
                  <c:v>610</c:v>
                </c:pt>
                <c:pt idx="3">
                  <c:v>602</c:v>
                </c:pt>
                <c:pt idx="4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2-4D09-BD0C-DE6A3A6FE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67888"/>
        <c:axId val="225409792"/>
      </c:lineChart>
      <c:catAx>
        <c:axId val="12286788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09792"/>
        <c:crosses val="autoZero"/>
        <c:auto val="1"/>
        <c:lblAlgn val="ctr"/>
        <c:lblOffset val="100"/>
        <c:noMultiLvlLbl val="0"/>
      </c:catAx>
      <c:valAx>
        <c:axId val="2254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"Monthly Attendance Trend"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6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Recruitment Funnel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Recruitment!$F$1</c:f>
              <c:strCache>
                <c:ptCount val="1"/>
                <c:pt idx="0">
                  <c:v>candidates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Recruitment!$E$2:$E$5</c:f>
              <c:strCache>
                <c:ptCount val="4"/>
                <c:pt idx="0">
                  <c:v>Applied</c:v>
                </c:pt>
                <c:pt idx="1">
                  <c:v>Interviewed</c:v>
                </c:pt>
                <c:pt idx="2">
                  <c:v>Hired</c:v>
                </c:pt>
                <c:pt idx="3">
                  <c:v>Rejected</c:v>
                </c:pt>
              </c:strCache>
            </c:strRef>
          </c:cat>
          <c:val>
            <c:numRef>
              <c:f>Recruitment!$F$2:$F$5</c:f>
              <c:numCache>
                <c:formatCode>General</c:formatCode>
                <c:ptCount val="4"/>
                <c:pt idx="0">
                  <c:v>16</c:v>
                </c:pt>
                <c:pt idx="1">
                  <c:v>32</c:v>
                </c:pt>
                <c:pt idx="2">
                  <c:v>65</c:v>
                </c:pt>
                <c:pt idx="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4-4A14-A3C3-513D994732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2890160"/>
        <c:axId val="742578144"/>
      </c:barChart>
      <c:catAx>
        <c:axId val="122890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78144"/>
        <c:crosses val="autoZero"/>
        <c:auto val="1"/>
        <c:lblAlgn val="ctr"/>
        <c:lblOffset val="100"/>
        <c:noMultiLvlLbl val="0"/>
      </c:catAx>
      <c:valAx>
        <c:axId val="74257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9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Hire Rate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Recruitment!$K$1</c:f>
              <c:strCache>
                <c:ptCount val="1"/>
                <c:pt idx="0">
                  <c:v>hire_rate_percent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Recruitment!$H$2:$H$6</c:f>
              <c:strCache>
                <c:ptCount val="5"/>
                <c:pt idx="0">
                  <c:v>Referral</c:v>
                </c:pt>
                <c:pt idx="1">
                  <c:v>Company Website</c:v>
                </c:pt>
                <c:pt idx="2">
                  <c:v>LinkedIn</c:v>
                </c:pt>
                <c:pt idx="3">
                  <c:v>University</c:v>
                </c:pt>
                <c:pt idx="4">
                  <c:v>Job Portal</c:v>
                </c:pt>
              </c:strCache>
            </c:strRef>
          </c:cat>
          <c:val>
            <c:numRef>
              <c:f>Recruitment!$K$2:$K$6</c:f>
              <c:numCache>
                <c:formatCode>General</c:formatCode>
                <c:ptCount val="5"/>
                <c:pt idx="0">
                  <c:v>4348</c:v>
                </c:pt>
                <c:pt idx="1">
                  <c:v>3667</c:v>
                </c:pt>
                <c:pt idx="2">
                  <c:v>2836</c:v>
                </c:pt>
                <c:pt idx="3">
                  <c:v>2222</c:v>
                </c:pt>
                <c:pt idx="4">
                  <c:v>1746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E-40E9-AAF9-1B67356E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4282480"/>
        <c:axId val="742581024"/>
      </c:barChart>
      <c:catAx>
        <c:axId val="140428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1024"/>
        <c:crosses val="autoZero"/>
        <c:auto val="1"/>
        <c:lblAlgn val="ctr"/>
        <c:lblOffset val="100"/>
        <c:noMultiLvlLbl val="0"/>
      </c:catAx>
      <c:valAx>
        <c:axId val="74258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8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Average KPI &amp; Manager Score by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Performance'!$F$1</c:f>
              <c:strCache>
                <c:ptCount val="1"/>
                <c:pt idx="0">
                  <c:v>kpi_score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cat>
            <c:strRef>
              <c:f>' Performance'!$E$2:$E$5</c:f>
              <c:strCache>
                <c:ptCount val="4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</c:strCache>
            </c:strRef>
          </c:cat>
          <c:val>
            <c:numRef>
              <c:f>' Performance'!$F$2:$F$5</c:f>
              <c:numCache>
                <c:formatCode>General</c:formatCode>
                <c:ptCount val="4"/>
                <c:pt idx="0">
                  <c:v>75.209999999999994</c:v>
                </c:pt>
                <c:pt idx="1">
                  <c:v>75.45</c:v>
                </c:pt>
                <c:pt idx="2">
                  <c:v>75.22</c:v>
                </c:pt>
                <c:pt idx="3">
                  <c:v>75.64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C-4E80-9D29-572EBA876D3E}"/>
            </c:ext>
          </c:extLst>
        </c:ser>
        <c:ser>
          <c:idx val="1"/>
          <c:order val="1"/>
          <c:tx>
            <c:strRef>
              <c:f>' Performance'!$G$1</c:f>
              <c:strCache>
                <c:ptCount val="1"/>
                <c:pt idx="0">
                  <c:v>manager_score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cat>
            <c:strRef>
              <c:f>' Performance'!$E$2:$E$5</c:f>
              <c:strCache>
                <c:ptCount val="4"/>
                <c:pt idx="0">
                  <c:v>2025-Q1</c:v>
                </c:pt>
                <c:pt idx="1">
                  <c:v>2025-Q2</c:v>
                </c:pt>
                <c:pt idx="2">
                  <c:v>2025-Q3</c:v>
                </c:pt>
                <c:pt idx="3">
                  <c:v>2025-Q4</c:v>
                </c:pt>
              </c:strCache>
            </c:strRef>
          </c:cat>
          <c:val>
            <c:numRef>
              <c:f>' Performance'!$G$2:$G$5</c:f>
              <c:numCache>
                <c:formatCode>General</c:formatCode>
                <c:ptCount val="4"/>
                <c:pt idx="0">
                  <c:v>74.98</c:v>
                </c:pt>
                <c:pt idx="1">
                  <c:v>75.150000000000006</c:v>
                </c:pt>
                <c:pt idx="2">
                  <c:v>75.319999999999993</c:v>
                </c:pt>
                <c:pt idx="3">
                  <c:v>74.92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C-4E80-9D29-572EBA876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5939936"/>
        <c:axId val="225367552"/>
      </c:lineChart>
      <c:catAx>
        <c:axId val="75593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367552"/>
        <c:crosses val="autoZero"/>
        <c:auto val="1"/>
        <c:lblAlgn val="ctr"/>
        <c:lblOffset val="100"/>
        <c:noMultiLvlLbl val="0"/>
      </c:catAx>
      <c:valAx>
        <c:axId val="2253675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3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Bottom 10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Bryan Duran DDS</c:v>
              </c:pt>
              <c:pt idx="1">
                <c:v>Dwayne Campbell</c:v>
              </c:pt>
              <c:pt idx="2">
                <c:v>George Harper</c:v>
              </c:pt>
              <c:pt idx="3">
                <c:v>Jason Peters</c:v>
              </c:pt>
              <c:pt idx="4">
                <c:v>Joshua Perry</c:v>
              </c:pt>
              <c:pt idx="5">
                <c:v>Katrina Bullock</c:v>
              </c:pt>
              <c:pt idx="6">
                <c:v>Lisa Perry</c:v>
              </c:pt>
              <c:pt idx="7">
                <c:v>Lisa Robbins</c:v>
              </c:pt>
              <c:pt idx="8">
                <c:v>Michael Travis</c:v>
              </c:pt>
              <c:pt idx="9">
                <c:v>William Huerta</c:v>
              </c:pt>
            </c:strLit>
          </c:cat>
          <c:val>
            <c:numLit>
              <c:formatCode>General</c:formatCode>
              <c:ptCount val="10"/>
              <c:pt idx="0">
                <c:v>5163</c:v>
              </c:pt>
              <c:pt idx="1">
                <c:v>3971</c:v>
              </c:pt>
              <c:pt idx="2">
                <c:v>5224</c:v>
              </c:pt>
              <c:pt idx="3">
                <c:v>5054</c:v>
              </c:pt>
              <c:pt idx="4">
                <c:v>563</c:v>
              </c:pt>
              <c:pt idx="5">
                <c:v>531</c:v>
              </c:pt>
              <c:pt idx="6">
                <c:v>5478</c:v>
              </c:pt>
              <c:pt idx="7">
                <c:v>562</c:v>
              </c:pt>
              <c:pt idx="8">
                <c:v>4596</c:v>
              </c:pt>
              <c:pt idx="9">
                <c:v>5417</c:v>
              </c:pt>
            </c:numLit>
          </c:val>
          <c:extLst>
            <c:ext xmlns:c16="http://schemas.microsoft.com/office/drawing/2014/chart" uri="{C3380CC4-5D6E-409C-BE32-E72D297353CC}">
              <c16:uniqueId val="{00000000-C94E-42C6-B539-5576B5100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067824"/>
        <c:axId val="742593024"/>
      </c:barChart>
      <c:catAx>
        <c:axId val="140406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93024"/>
        <c:crosses val="autoZero"/>
        <c:auto val="1"/>
        <c:lblAlgn val="ctr"/>
        <c:lblOffset val="100"/>
        <c:noMultiLvlLbl val="0"/>
      </c:catAx>
      <c:valAx>
        <c:axId val="7425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06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"Average Training Score by Course"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Performance'!$V$1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Performance'!$T$2:$T$10</c:f>
              <c:strCache>
                <c:ptCount val="9"/>
                <c:pt idx="0">
                  <c:v>Data Literacy</c:v>
                </c:pt>
                <c:pt idx="1">
                  <c:v>Leadership Essentials</c:v>
                </c:pt>
                <c:pt idx="2">
                  <c:v>Cloud Computing</c:v>
                </c:pt>
                <c:pt idx="3">
                  <c:v>Conflict Resolution</c:v>
                </c:pt>
                <c:pt idx="4">
                  <c:v>Advanced Excel</c:v>
                </c:pt>
                <c:pt idx="5">
                  <c:v>Communication Skills</c:v>
                </c:pt>
                <c:pt idx="6">
                  <c:v>Time Management</c:v>
                </c:pt>
                <c:pt idx="7">
                  <c:v>Project Management</c:v>
                </c:pt>
                <c:pt idx="8">
                  <c:v>Public Speaking</c:v>
                </c:pt>
              </c:strCache>
            </c:strRef>
          </c:cat>
          <c:val>
            <c:numRef>
              <c:f>' Performance'!$V$2:$V$10</c:f>
              <c:numCache>
                <c:formatCode>General</c:formatCode>
                <c:ptCount val="9"/>
                <c:pt idx="0">
                  <c:v>8219</c:v>
                </c:pt>
                <c:pt idx="1">
                  <c:v>8106</c:v>
                </c:pt>
                <c:pt idx="2">
                  <c:v>8101</c:v>
                </c:pt>
                <c:pt idx="3">
                  <c:v>8041</c:v>
                </c:pt>
                <c:pt idx="4">
                  <c:v>7995</c:v>
                </c:pt>
                <c:pt idx="5">
                  <c:v>797</c:v>
                </c:pt>
                <c:pt idx="6">
                  <c:v>7926</c:v>
                </c:pt>
                <c:pt idx="7">
                  <c:v>777</c:v>
                </c:pt>
                <c:pt idx="8">
                  <c:v>7747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B-432B-B535-B96C7DD57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8670464"/>
        <c:axId val="742595424"/>
      </c:barChart>
      <c:catAx>
        <c:axId val="14086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95424"/>
        <c:crosses val="autoZero"/>
        <c:auto val="1"/>
        <c:lblAlgn val="ctr"/>
        <c:lblOffset val="100"/>
        <c:noMultiLvlLbl val="0"/>
      </c:catAx>
      <c:valAx>
        <c:axId val="7425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67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Top 10 Performers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Barbara Walker</c:v>
              </c:pt>
              <c:pt idx="1">
                <c:v>Donald Washington</c:v>
              </c:pt>
              <c:pt idx="2">
                <c:v>Edward Spence DDS</c:v>
              </c:pt>
              <c:pt idx="3">
                <c:v>Frederick Solis</c:v>
              </c:pt>
              <c:pt idx="4">
                <c:v>Jared Sanchez</c:v>
              </c:pt>
              <c:pt idx="5">
                <c:v>Jody Jacobs</c:v>
              </c:pt>
              <c:pt idx="6">
                <c:v>Joel King</c:v>
              </c:pt>
              <c:pt idx="7">
                <c:v>Katie Rodriguez</c:v>
              </c:pt>
              <c:pt idx="8">
                <c:v>Melanie White</c:v>
              </c:pt>
              <c:pt idx="9">
                <c:v>Peter Ruiz</c:v>
              </c:pt>
            </c:strLit>
          </c:cat>
          <c:val>
            <c:numLit>
              <c:formatCode>General</c:formatCode>
              <c:ptCount val="10"/>
              <c:pt idx="0">
                <c:v>10000</c:v>
              </c:pt>
              <c:pt idx="1">
                <c:v>9565</c:v>
              </c:pt>
              <c:pt idx="2">
                <c:v>9396</c:v>
              </c:pt>
              <c:pt idx="3">
                <c:v>10000</c:v>
              </c:pt>
              <c:pt idx="4">
                <c:v>9474</c:v>
              </c:pt>
              <c:pt idx="5">
                <c:v>9790</c:v>
              </c:pt>
              <c:pt idx="6">
                <c:v>9528</c:v>
              </c:pt>
              <c:pt idx="7">
                <c:v>9513</c:v>
              </c:pt>
              <c:pt idx="8">
                <c:v>10000</c:v>
              </c:pt>
              <c:pt idx="9">
                <c:v>10000</c:v>
              </c:pt>
            </c:numLit>
          </c:val>
          <c:extLst>
            <c:ext xmlns:c16="http://schemas.microsoft.com/office/drawing/2014/chart" uri="{C3380CC4-5D6E-409C-BE32-E72D297353CC}">
              <c16:uniqueId val="{00000000-98DA-45DD-BB4F-C0F3CA918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4038544"/>
        <c:axId val="742592064"/>
      </c:barChart>
      <c:catAx>
        <c:axId val="15140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92064"/>
        <c:crosses val="autoZero"/>
        <c:auto val="1"/>
        <c:lblAlgn val="ctr"/>
        <c:lblOffset val="100"/>
        <c:noMultiLvlLbl val="0"/>
      </c:catAx>
      <c:valAx>
        <c:axId val="7425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_xlchart.v2.9</cx:f>
      </cx:numDim>
    </cx:data>
    <cx:data id="1">
      <cx:numDim type="val">
        <cx:f>_xlchart.v2.11</cx:f>
      </cx:numDim>
    </cx:data>
  </cx:chartData>
  <cx:chart>
    <cx:title pos="t" align="ctr" overlay="0"/>
    <cx:plotArea>
      <cx:plotAreaRegion>
        <cx:series layoutId="funnel" uniqueId="{3C71A8D5-ECC9-4066-B4BE-13FB0D49E568}" formatIdx="0">
          <cx:tx>
            <cx:txData>
              <cx:f>_xlchart.v2.8</cx:f>
              <cx:v>late_days</cx:v>
            </cx:txData>
          </cx:tx>
          <cx:dataLabels>
            <cx:visibility seriesName="0" categoryName="0" value="1"/>
          </cx:dataLabels>
          <cx:dataId val="0"/>
        </cx:series>
        <cx:series layoutId="funnel" hidden="1" uniqueId="{04A750A5-41BB-486F-852D-03803F0DACF2}" formatIdx="1">
          <cx:tx>
            <cx:txData>
              <cx:f>_xlchart.v2.10</cx:f>
              <cx:v>full_name</cx:v>
            </cx:txData>
          </cx:tx>
          <cx:dataLabels>
            <cx:visibility seriesName="0" categoryName="0" value="1"/>
          </cx:dataLabels>
          <cx:dataId val="1"/>
        </cx:series>
      </cx:plotAreaRegion>
      <cx:axis id="1">
        <cx:catScaling gapWidth="0.0599999987"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312420</xdr:colOff>
      <xdr:row>9</xdr:row>
      <xdr:rowOff>129540</xdr:rowOff>
    </xdr:from>
    <xdr:to>
      <xdr:col>6</xdr:col>
      <xdr:colOff>419100</xdr:colOff>
      <xdr:row>24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02C95D-28E8-E738-5E4B-0CC23B08F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260430</xdr:colOff>
      <xdr:row>18</xdr:row>
      <xdr:rowOff>102646</xdr:rowOff>
    </xdr:from>
    <xdr:to>
      <xdr:col>12</xdr:col>
      <xdr:colOff>7619</xdr:colOff>
      <xdr:row>27</xdr:row>
      <xdr:rowOff>164055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AA18C-9528-D8CF-5598-6606C22F8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434346</xdr:colOff>
      <xdr:row>5</xdr:row>
      <xdr:rowOff>76200</xdr:rowOff>
    </xdr:from>
    <xdr:to>
      <xdr:col>17</xdr:col>
      <xdr:colOff>22860</xdr:colOff>
      <xdr:row>17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102357-6545-F05B-CDE0-E794CEAC2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659130</xdr:colOff>
      <xdr:row>11</xdr:row>
      <xdr:rowOff>121920</xdr:rowOff>
    </xdr:from>
    <xdr:to>
      <xdr:col>13</xdr:col>
      <xdr:colOff>41910</xdr:colOff>
      <xdr:row>26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E89632-7654-9C15-0D66-8A310AE82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12</xdr:row>
      <xdr:rowOff>15240</xdr:rowOff>
    </xdr:from>
    <xdr:to>
      <xdr:col>19</xdr:col>
      <xdr:colOff>422910</xdr:colOff>
      <xdr:row>27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911051-646E-E8DC-5428-D2F31529A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1397000</xdr:colOff>
      <xdr:row>8</xdr:row>
      <xdr:rowOff>63731</xdr:rowOff>
    </xdr:from>
    <xdr:to>
      <xdr:col>7</xdr:col>
      <xdr:colOff>313113</xdr:colOff>
      <xdr:row>23</xdr:row>
      <xdr:rowOff>63731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F436D8-12D1-FBD2-5860-D7548CA97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196279</xdr:colOff>
      <xdr:row>31</xdr:row>
      <xdr:rowOff>18934</xdr:rowOff>
    </xdr:from>
    <xdr:to>
      <xdr:col>13</xdr:col>
      <xdr:colOff>645859</xdr:colOff>
      <xdr:row>46</xdr:row>
      <xdr:rowOff>18933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8BF53C-B1C7-6F87-A791-761576B56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415637</xdr:colOff>
      <xdr:row>15</xdr:row>
      <xdr:rowOff>94673</xdr:rowOff>
    </xdr:from>
    <xdr:to>
      <xdr:col>22</xdr:col>
      <xdr:colOff>92364</xdr:colOff>
      <xdr:row>30</xdr:row>
      <xdr:rowOff>66964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892CA81-F42E-4DE1-519F-144A7EFB233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5819" y="286558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243846</xdr:colOff>
      <xdr:row>6</xdr:row>
      <xdr:rowOff>172720</xdr:rowOff>
    </xdr:from>
    <xdr:to>
      <xdr:col>8</xdr:col>
      <xdr:colOff>320046</xdr:colOff>
      <xdr:row>21</xdr:row>
      <xdr:rowOff>172720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2B578-2F53-7808-27BD-107B1793E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401320</xdr:colOff>
      <xdr:row>8</xdr:row>
      <xdr:rowOff>127000</xdr:rowOff>
    </xdr:from>
    <xdr:to>
      <xdr:col>14</xdr:col>
      <xdr:colOff>502920</xdr:colOff>
      <xdr:row>23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E23AA5-353D-8229-F7C4-4EFFE7930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235677</xdr:colOff>
      <xdr:row>13</xdr:row>
      <xdr:rowOff>26710</xdr:rowOff>
    </xdr:from>
    <xdr:to>
      <xdr:col>8</xdr:col>
      <xdr:colOff>487058</xdr:colOff>
      <xdr:row>28</xdr:row>
      <xdr:rowOff>59703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8B7335-FB6A-0C4E-7084-2FA8F8DB4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15</xdr:row>
      <xdr:rowOff>0</xdr:rowOff>
    </xdr:from>
    <xdr:to>
      <xdr:col>19</xdr:col>
      <xdr:colOff>424207</xdr:colOff>
      <xdr:row>30</xdr:row>
      <xdr:rowOff>32994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2371EC-7FDD-40E6-9ABD-0BF1234B2D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652021</xdr:colOff>
      <xdr:row>15</xdr:row>
      <xdr:rowOff>3142</xdr:rowOff>
    </xdr:from>
    <xdr:to>
      <xdr:col>25</xdr:col>
      <xdr:colOff>424206</xdr:colOff>
      <xdr:row>30</xdr:row>
      <xdr:rowOff>36136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F5CFA-577F-6CEF-D4A4-D89CF02B3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13</xdr:row>
      <xdr:rowOff>0</xdr:rowOff>
    </xdr:from>
    <xdr:to>
      <xdr:col>13</xdr:col>
      <xdr:colOff>334573</xdr:colOff>
      <xdr:row>28</xdr:row>
      <xdr:rowOff>32994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6856EF5-DD15-4D93-BC57-5C684F37C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25.916339120369" createdVersion="8" refreshedVersion="8" minRefreshableVersion="3" recordCount="20" xr:uid="{2F6A2BD7-9CD9-4E3B-A54E-95589CB8456E}">
  <cacheSource type="worksheet">
    <worksheetSource name="attendance_monthly"/>
  </cacheSource>
  <cacheFields count="5">
    <cacheField name="month" numFmtId="14">
      <sharedItems containsSemiMixedTypes="0" containsNonDate="0" containsDate="1" containsString="0" minDate="2025-01-01T00:00:00" maxDate="2025-05-02T00:00:00" count="5">
        <d v="2025-01-01T00:00:00"/>
        <d v="2025-02-01T00:00:00"/>
        <d v="2025-03-01T00:00:00"/>
        <d v="2025-04-01T00:00:00"/>
        <d v="2025-05-01T00:00:00"/>
      </sharedItems>
      <fieldGroup par="4"/>
    </cacheField>
    <cacheField name="status" numFmtId="0">
      <sharedItems count="4">
        <s v="Absent"/>
        <s v="Leave"/>
        <s v="Present"/>
        <s v="Sick"/>
      </sharedItems>
    </cacheField>
    <cacheField name="total" numFmtId="0">
      <sharedItems containsSemiMixedTypes="0" containsString="0" containsNumber="1" containsInteger="1" minValue="139" maxValue="5431"/>
    </cacheField>
    <cacheField name="Days (month)" numFmtId="0" databaseField="0">
      <fieldGroup base="0">
        <rangePr groupBy="days" startDate="2025-01-01T00:00:00" endDate="2025-05-02T00:00:00"/>
        <groupItems count="368">
          <s v="&lt;01/01/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/05/2025"/>
        </groupItems>
      </fieldGroup>
    </cacheField>
    <cacheField name="Months (month)" numFmtId="0" databaseField="0">
      <fieldGroup base="0">
        <rangePr groupBy="months" startDate="2025-01-01T00:00:00" endDate="2025-05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337"/>
  </r>
  <r>
    <x v="0"/>
    <x v="1"/>
    <n v="477"/>
  </r>
  <r>
    <x v="0"/>
    <x v="2"/>
    <n v="5431"/>
  </r>
  <r>
    <x v="0"/>
    <x v="3"/>
    <n v="655"/>
  </r>
  <r>
    <x v="1"/>
    <x v="0"/>
    <n v="318"/>
  </r>
  <r>
    <x v="1"/>
    <x v="1"/>
    <n v="413"/>
  </r>
  <r>
    <x v="1"/>
    <x v="2"/>
    <n v="4721"/>
  </r>
  <r>
    <x v="1"/>
    <x v="3"/>
    <n v="548"/>
  </r>
  <r>
    <x v="2"/>
    <x v="0"/>
    <n v="323"/>
  </r>
  <r>
    <x v="2"/>
    <x v="1"/>
    <n v="422"/>
  </r>
  <r>
    <x v="2"/>
    <x v="2"/>
    <n v="4945"/>
  </r>
  <r>
    <x v="2"/>
    <x v="3"/>
    <n v="610"/>
  </r>
  <r>
    <x v="3"/>
    <x v="0"/>
    <n v="306"/>
  </r>
  <r>
    <x v="3"/>
    <x v="1"/>
    <n v="455"/>
  </r>
  <r>
    <x v="3"/>
    <x v="2"/>
    <n v="5237"/>
  </r>
  <r>
    <x v="3"/>
    <x v="3"/>
    <n v="602"/>
  </r>
  <r>
    <x v="4"/>
    <x v="0"/>
    <n v="139"/>
  </r>
  <r>
    <x v="4"/>
    <x v="1"/>
    <n v="169"/>
  </r>
  <r>
    <x v="4"/>
    <x v="2"/>
    <n v="1844"/>
  </r>
  <r>
    <x v="4"/>
    <x v="3"/>
    <n v="2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AD87-4D4C-4A2D-ADEF-8C424CE899E6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23:N30" firstHeaderRow="1" firstDataRow="2" firstDataCol="1"/>
  <pivotFields count="5">
    <pivotField axis="axisRow" numFmtId="14" showAll="0">
      <items count="6">
        <item x="0"/>
        <item x="1"/>
        <item x="2"/>
        <item x="3"/>
        <item x="4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4"/>
    <field x="3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95D542B-155D-4C35-89B2-EDD79CFFD21A}" autoFormatId="16" applyNumberFormats="0" applyBorderFormats="0" applyFontFormats="0" applyPatternFormats="0" applyAlignmentFormats="0" applyWidthHeightFormats="0">
  <queryTableRefresh nextId="3">
    <queryTableFields count="2">
      <queryTableField id="1" name="department_name" tableColumnId="1"/>
      <queryTableField id="2" name="total_employee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7967BB18-9960-4F61-A226-E5356BEC8738}" autoFormatId="16" applyNumberFormats="0" applyBorderFormats="0" applyFontFormats="0" applyPatternFormats="0" applyAlignmentFormats="0" applyWidthHeightFormats="0">
  <queryTableRefresh nextId="4">
    <queryTableFields count="3">
      <queryTableField id="1" name="gender" tableColumnId="1"/>
      <queryTableField id="2" name="total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C60E003-9291-4C8F-BEE1-8267D04EAC52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total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98C7B9A0-3110-4BA0-BE3E-2308895DC12E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C39CF452-1451-44E6-8BD2-3DF3A422BC8C}" autoFormatId="16" applyNumberFormats="0" applyBorderFormats="0" applyFontFormats="0" applyPatternFormats="0" applyAlignmentFormats="0" applyWidthHeightFormats="0">
  <queryTableRefresh nextId="5">
    <queryTableFields count="4">
      <queryTableField id="1" name="department_name" tableColumnId="1"/>
      <queryTableField id="2" name="mean" tableColumnId="2"/>
      <queryTableField id="3" name="min" tableColumnId="3"/>
      <queryTableField id="4" name="max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C09468C4-3E14-4F08-9867-D07ADDE87131}" autoFormatId="16" applyNumberFormats="0" applyBorderFormats="0" applyFontFormats="0" applyPatternFormats="0" applyAlignmentFormats="0" applyWidthHeightFormats="0">
  <queryTableRefresh nextId="4">
    <queryTableFields count="3">
      <queryTableField id="1" name="full_name" tableColumnId="1"/>
      <queryTableField id="2" name="department_name" tableColumnId="2"/>
      <queryTableField id="3" name="salary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FCAEA1E-794A-4347-BB9D-4B0C0044713A}" autoFormatId="16" applyNumberFormats="0" applyBorderFormats="0" applyFontFormats="0" applyPatternFormats="0" applyAlignmentFormats="0" applyWidthHeightFormats="0">
  <queryTableRefresh nextId="4">
    <queryTableFields count="3">
      <queryTableField id="1" name="status" tableColumnId="1"/>
      <queryTableField id="2" name="total" tableColumnId="2"/>
      <queryTableField id="3" name="percentage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EF72267-5096-4A82-AD7A-B1C524F98202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status" tableColumnId="2"/>
      <queryTableField id="3" name="total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B884A10-9622-4E1C-AAC3-AEE5A4E41D71}" autoFormatId="16" applyNumberFormats="0" applyBorderFormats="0" applyFontFormats="0" applyPatternFormats="0" applyAlignmentFormats="0" applyWidthHeightFormats="0">
  <queryTableRefresh nextId="4">
    <queryTableFields count="3">
      <queryTableField id="1" name="employee_id" tableColumnId="1"/>
      <queryTableField id="2" name="late_days" tableColumnId="2"/>
      <queryTableField id="3" name="full_nam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7E8F258F-1652-49F6-B210-70EEC63E6FD3}" autoFormatId="16" applyNumberFormats="0" applyBorderFormats="0" applyFontFormats="0" applyPatternFormats="0" applyAlignmentFormats="0" applyWidthHeightFormats="0">
  <queryTableRefresh nextId="3">
    <queryTableFields count="2">
      <queryTableField id="1" name="status" tableColumnId="1"/>
      <queryTableField id="2" name="candidates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7" xr16:uid="{25D938AB-14A8-48E0-BEA8-9B3380677F76}" autoFormatId="16" applyNumberFormats="0" applyBorderFormats="0" applyFontFormats="0" applyPatternFormats="0" applyAlignmentFormats="0" applyWidthHeightFormats="0">
  <queryTableRefresh nextId="5">
    <queryTableFields count="4">
      <queryTableField id="1" name="source" tableColumnId="1"/>
      <queryTableField id="2" name="total" tableColumnId="2"/>
      <queryTableField id="3" name="hired" tableColumnId="3"/>
      <queryTableField id="4" name="hire_rate_percent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000D3599-301B-4161-B117-B99306E5F281}" autoFormatId="16" applyNumberFormats="0" applyBorderFormats="0" applyFontFormats="0" applyPatternFormats="0" applyAlignmentFormats="0" applyWidthHeightFormats="0">
  <queryTableRefresh nextId="3">
    <queryTableFields count="2">
      <queryTableField id="1" name="metric" tableColumnId="1"/>
      <queryTableField id="2" name="value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DDF09089-B966-43E7-9C71-04E4E8024BB3}" autoFormatId="16" applyNumberFormats="0" applyBorderFormats="0" applyFontFormats="0" applyPatternFormats="0" applyAlignmentFormats="0" applyWidthHeightFormats="0">
  <queryTableRefresh nextId="4">
    <queryTableFields count="3">
      <queryTableField id="1" name="period" tableColumnId="1"/>
      <queryTableField id="2" name="kpi_score" tableColumnId="2"/>
      <queryTableField id="3" name="manager_score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5" xr16:uid="{F8691483-A499-4886-95A8-15FB33E26255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full_name" tableColumnId="2"/>
      <queryTableField id="3" name="department_name" tableColumnId="3"/>
      <queryTableField id="4" name="avg_kpi" tableColumnId="4"/>
      <queryTableField id="5" name="rank" tableColumnId="5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A60EE8F4-65E9-4280-BEAE-9109184303CE}" autoFormatId="16" applyNumberFormats="0" applyBorderFormats="0" applyFontFormats="0" applyPatternFormats="0" applyAlignmentFormats="0" applyWidthHeightFormats="0">
  <queryTableRefresh nextId="6">
    <queryTableFields count="5">
      <queryTableField id="1" name="employee_id" tableColumnId="1"/>
      <queryTableField id="2" name="full_name" tableColumnId="2"/>
      <queryTableField id="3" name="department_name" tableColumnId="3"/>
      <queryTableField id="4" name="avg_kpi" tableColumnId="4"/>
      <queryTableField id="5" name="rank" tableColumnId="5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9" xr16:uid="{9FD82EB3-270C-48E5-9775-234C072D0C93}" autoFormatId="16" applyNumberFormats="0" applyBorderFormats="0" applyFontFormats="0" applyPatternFormats="0" applyAlignmentFormats="0" applyWidthHeightFormats="0">
  <queryTableRefresh nextId="4">
    <queryTableFields count="3">
      <queryTableField id="1" name="course_name" tableColumnId="1"/>
      <queryTableField id="2" name="participants" tableColumnId="2"/>
      <queryTableField id="3" name="avg_sco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169D4A-99E7-4391-9B1E-A914F2A67CE2}" name="emp_department__2" displayName="emp_department__2" ref="D1:E9" tableType="queryTable" totalsRowShown="0" headerRowDxfId="14">
  <autoFilter ref="D1:E9" xr:uid="{24169D4A-99E7-4391-9B1E-A914F2A67CE2}"/>
  <tableColumns count="2">
    <tableColumn id="1" xr3:uid="{6583C9E2-1B2B-4C33-921A-CDB5153300A1}" uniqueName="1" name="department_name" queryTableFieldId="1" dataDxfId="13"/>
    <tableColumn id="2" xr3:uid="{06445C7D-3EEA-41BC-BA40-A0BE95CD7F6A}" uniqueName="2" name="total_employees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C8BAB1-E22C-40CB-9CBC-49B2C40EC39E}" name="emp_gender" displayName="emp_gender" ref="H1:J3" tableType="queryTable" totalsRowShown="0" headerRowDxfId="16">
  <autoFilter ref="H1:J3" xr:uid="{F0C8BAB1-E22C-40CB-9CBC-49B2C40EC39E}"/>
  <tableColumns count="3">
    <tableColumn id="1" xr3:uid="{2EA85161-BCF9-459A-8E00-3ABC67FD611A}" uniqueName="1" name="gender" queryTableFieldId="1" dataDxfId="38"/>
    <tableColumn id="2" xr3:uid="{64F8C6D4-A6DA-44D4-9B0B-97B8ACCECA70}" uniqueName="2" name="total" queryTableFieldId="2"/>
    <tableColumn id="3" xr3:uid="{E044ACF4-AB1A-42DD-BED7-E4D2BE8CEB35}" uniqueName="3" name="percentag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714D9F-E494-4578-BFAD-0A2703C27CDC}" name="emp_status" displayName="emp_status" ref="K1:L4" tableType="queryTable" totalsRowShown="0" headerRowDxfId="15">
  <autoFilter ref="K1:L4" xr:uid="{E7714D9F-E494-4578-BFAD-0A2703C27CDC}"/>
  <tableColumns count="2">
    <tableColumn id="1" xr3:uid="{2F72876B-5F25-4B8F-8E77-E592B9D6A3D2}" uniqueName="1" name="status" queryTableFieldId="1" dataDxfId="37"/>
    <tableColumn id="2" xr3:uid="{681046D6-765D-4E32-A4A6-94D3DD5F512E}" uniqueName="2" name="total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1E85A3-5EE5-467E-8E41-B4B60A064963}" name="payroll_overall__2" displayName="payroll_overall__2" ref="E1:F4" tableType="queryTable" totalsRowShown="0" headerRowDxfId="12">
  <autoFilter ref="E1:F4" xr:uid="{4E1E85A3-5EE5-467E-8E41-B4B60A064963}"/>
  <tableColumns count="2">
    <tableColumn id="1" xr3:uid="{94A5E4C8-3F71-4EFA-943B-A6DEBDC60CA0}" uniqueName="1" name="metric" queryTableFieldId="1" dataDxfId="36"/>
    <tableColumn id="2" xr3:uid="{05DF4E73-8F3F-4B66-BFCF-F265D5D719BD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C58BF6-6898-43A2-82C3-50ECB9C9AE53}" name="payroll_department__2" displayName="payroll_department__2" ref="I1:L9" tableType="queryTable" totalsRowShown="0" headerRowDxfId="11">
  <autoFilter ref="I1:L9" xr:uid="{34C58BF6-6898-43A2-82C3-50ECB9C9AE53}"/>
  <tableColumns count="4">
    <tableColumn id="1" xr3:uid="{80CBB574-06C1-4955-B42C-D122750A7AD0}" uniqueName="1" name="department_name" queryTableFieldId="1" dataDxfId="35"/>
    <tableColumn id="2" xr3:uid="{F28BE2A5-B739-4D07-9FC4-28280CE9C886}" uniqueName="2" name="mean" queryTableFieldId="2"/>
    <tableColumn id="3" xr3:uid="{CAF487F7-7C02-4A84-A9B3-69CC6056DCC4}" uniqueName="3" name="min" queryTableFieldId="3"/>
    <tableColumn id="4" xr3:uid="{07637A5A-2B94-472F-9AB2-705C5061CB43}" uniqueName="4" name="max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656AA3-E8A1-4FBE-9201-6AAE23C56EF9}" name="payroll_top10__2" displayName="payroll_top10__2" ref="M1:O11" tableType="queryTable" totalsRowShown="0" headerRowDxfId="10">
  <autoFilter ref="M1:O11" xr:uid="{0C656AA3-E8A1-4FBE-9201-6AAE23C56EF9}"/>
  <tableColumns count="3">
    <tableColumn id="1" xr3:uid="{53821BB7-5E3D-4193-92B2-8F41972A9970}" uniqueName="1" name="full_name" queryTableFieldId="1" dataDxfId="34"/>
    <tableColumn id="2" xr3:uid="{444AE8B0-DFA7-4BBE-A5B6-5B501C2089E4}" uniqueName="2" name="department_name" queryTableFieldId="2" dataDxfId="33"/>
    <tableColumn id="3" xr3:uid="{C9303D7F-1478-4CE0-B580-A9DA51C4E401}" uniqueName="3" name="salary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8F25C6-E95C-4575-A100-F2B4F77245B6}" name="attendance_status" displayName="attendance_status" ref="E1:G5" tableType="queryTable" totalsRowShown="0" headerRowDxfId="9">
  <autoFilter ref="E1:G5" xr:uid="{8F8F25C6-E95C-4575-A100-F2B4F77245B6}"/>
  <tableColumns count="3">
    <tableColumn id="1" xr3:uid="{078EC0BF-48EA-4E55-80F8-FBB3DEAA8CF9}" uniqueName="1" name="status" queryTableFieldId="1" dataDxfId="32"/>
    <tableColumn id="2" xr3:uid="{C6B69C15-E47D-4D9C-AEF7-A868C02D5B6A}" uniqueName="2" name="total" queryTableFieldId="2"/>
    <tableColumn id="3" xr3:uid="{078943EB-11A3-492D-84CB-7DF91405C86A}" uniqueName="3" name="percentage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E0DA8E0-68AD-4799-B49C-0186C0E99A6B}" name="attendance_monthly" displayName="attendance_monthly" ref="I1:K21" tableType="queryTable" totalsRowShown="0" headerRowDxfId="8">
  <autoFilter ref="I1:K21" xr:uid="{1E0DA8E0-68AD-4799-B49C-0186C0E99A6B}"/>
  <tableColumns count="3">
    <tableColumn id="1" xr3:uid="{0D832737-18C3-4B6A-92B3-BDD18D70B5C7}" uniqueName="1" name="month" queryTableFieldId="1" dataDxfId="31"/>
    <tableColumn id="2" xr3:uid="{3B937FA6-9BC1-4294-B6F5-EA080A3E523B}" uniqueName="2" name="status" queryTableFieldId="2" dataDxfId="30"/>
    <tableColumn id="3" xr3:uid="{B83EFC46-7403-4003-BECA-7565E3963ABC}" uniqueName="3" name="total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8265EC-E862-45A7-BDB5-3AA8C257E32E}" name="attendance_late" displayName="attendance_late" ref="L1:N11" tableType="queryTable" totalsRowShown="0" headerRowDxfId="7">
  <autoFilter ref="L1:N11" xr:uid="{318265EC-E862-45A7-BDB5-3AA8C257E32E}"/>
  <tableColumns count="3">
    <tableColumn id="1" xr3:uid="{7EA3CF2C-F106-47A1-AE29-EF2400F8F72D}" uniqueName="1" name="employee_id" queryTableFieldId="1"/>
    <tableColumn id="2" xr3:uid="{A8260733-D274-439B-B364-EDAC6071B5E5}" uniqueName="2" name="late_days" queryTableFieldId="2"/>
    <tableColumn id="3" xr3:uid="{DC57B7C2-82EC-4961-B14E-302428081CD6}" uniqueName="3" name="full_name" queryTableFieldId="3" dataDxfId="2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A358C2A-CF36-4517-84E6-18016070A6BC}" name="recruitment_funnel" displayName="recruitment_funnel" ref="E1:F5" tableType="queryTable" totalsRowShown="0" headerRowDxfId="6">
  <autoFilter ref="E1:F5" xr:uid="{1A358C2A-CF36-4517-84E6-18016070A6BC}"/>
  <tableColumns count="2">
    <tableColumn id="1" xr3:uid="{8A97EE4D-8F3C-44A5-AC19-A90A52F3B1F4}" uniqueName="1" name="status" queryTableFieldId="1" dataDxfId="28"/>
    <tableColumn id="2" xr3:uid="{1395C279-BDDA-4A55-AC95-A892FC832362}" uniqueName="2" name="candidates" queryTableFieldId="2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90F595-26D1-4235-8983-87B1BBD4B0E9}" name="recruitment_source" displayName="recruitment_source" ref="H1:K6" tableType="queryTable" totalsRowShown="0" headerRowDxfId="5">
  <autoFilter ref="H1:K6" xr:uid="{D190F595-26D1-4235-8983-87B1BBD4B0E9}"/>
  <tableColumns count="4">
    <tableColumn id="1" xr3:uid="{A86292E7-133F-408C-8F5D-82614EB7AE95}" uniqueName="1" name="source" queryTableFieldId="1" dataDxfId="27"/>
    <tableColumn id="2" xr3:uid="{F11E4544-A73F-468C-8759-FCFE2611FEC0}" uniqueName="2" name="total" queryTableFieldId="2"/>
    <tableColumn id="3" xr3:uid="{EE186B9D-3671-4A8C-9B51-BF343FB037A0}" uniqueName="3" name="hired" queryTableFieldId="3"/>
    <tableColumn id="4" xr3:uid="{F8F3D0E9-95CF-42B5-A3D2-8C198595237A}" uniqueName="4" name="hire_rate_percent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0810D2-7DBB-448D-B6D8-3E097CE173F8}" name="recruitment_timetohire" displayName="recruitment_timetohire" ref="L1:M2" tableType="queryTable" totalsRowShown="0" headerRowDxfId="4">
  <autoFilter ref="L1:M2" xr:uid="{6B0810D2-7DBB-448D-B6D8-3E097CE173F8}"/>
  <tableColumns count="2">
    <tableColumn id="1" xr3:uid="{B3123D80-65E3-4BB8-8E91-26DCF24F9858}" uniqueName="1" name="metric" queryTableFieldId="1" dataDxfId="26"/>
    <tableColumn id="2" xr3:uid="{9389860F-414E-448A-8C50-A8AC27AFF009}" uniqueName="2" name="value" queryTableFieldId="2" dataDxfId="2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61C2044-9931-4EE9-ACED-9831ACBC7D36}" name="performance_period" displayName="performance_period" ref="E1:G5" tableType="queryTable" totalsRowShown="0" headerRowDxfId="3">
  <autoFilter ref="E1:G5" xr:uid="{C61C2044-9931-4EE9-ACED-9831ACBC7D36}"/>
  <tableColumns count="3">
    <tableColumn id="1" xr3:uid="{AC2578D9-79C7-4C29-86B5-B9A7E28759A2}" uniqueName="1" name="period" queryTableFieldId="1" dataDxfId="19"/>
    <tableColumn id="2" xr3:uid="{2FA2B80B-078E-416B-A709-511A1283D9A7}" uniqueName="2" name="kpi_score" queryTableFieldId="2" dataDxfId="18"/>
    <tableColumn id="3" xr3:uid="{84CF5F7D-05D2-4F40-BE04-EA60B386B52F}" uniqueName="3" name="manager_score" queryTableFieldId="3" dataDxfId="1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76D6D4C-5268-448F-8A3F-02EFC94B9A3D}" name="performance_top10" displayName="performance_top10" ref="I1:M11" tableType="queryTable" totalsRowShown="0" headerRowDxfId="2">
  <autoFilter ref="I1:M11" xr:uid="{E76D6D4C-5268-448F-8A3F-02EFC94B9A3D}"/>
  <tableColumns count="5">
    <tableColumn id="1" xr3:uid="{739F1F30-BE32-477E-B6F9-DA4AFA97850B}" uniqueName="1" name="employee_id" queryTableFieldId="1"/>
    <tableColumn id="2" xr3:uid="{F271C217-8C6F-4EDD-9143-AECE3861B416}" uniqueName="2" name="full_name" queryTableFieldId="2" dataDxfId="24"/>
    <tableColumn id="3" xr3:uid="{848E664F-CA1D-4A65-AD0A-7CF49D9BF388}" uniqueName="3" name="department_name" queryTableFieldId="3" dataDxfId="23"/>
    <tableColumn id="4" xr3:uid="{9E0CE87B-E1F8-4189-AEA9-D2907FF1E9CA}" uniqueName="4" name="avg_kpi" queryTableFieldId="4"/>
    <tableColumn id="5" xr3:uid="{C9330884-A4EF-476A-A49E-4EEC4D3A301B}" uniqueName="5" name="rank" queryTableFieldId="5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A337CD6-2C52-45B3-BFAB-55B40AFCF411}" name="performance_bottom10" displayName="performance_bottom10" ref="N1:R11" tableType="queryTable" totalsRowShown="0" headerRowDxfId="1">
  <autoFilter ref="N1:R11" xr:uid="{8A337CD6-2C52-45B3-BFAB-55B40AFCF411}"/>
  <tableColumns count="5">
    <tableColumn id="1" xr3:uid="{C849E758-4676-4B1F-BA9A-F1BF557599E8}" uniqueName="1" name="employee_id" queryTableFieldId="1"/>
    <tableColumn id="2" xr3:uid="{FDE1AB40-A989-43A7-8E71-FB1E03C1C348}" uniqueName="2" name="full_name" queryTableFieldId="2" dataDxfId="22"/>
    <tableColumn id="3" xr3:uid="{51BC27A1-3A3D-49A4-B545-3DC3470904EF}" uniqueName="3" name="department_name" queryTableFieldId="3" dataDxfId="21"/>
    <tableColumn id="4" xr3:uid="{E0E8F26F-F35C-4A57-81AE-37498CE82A13}" uniqueName="4" name="avg_kpi" queryTableFieldId="4"/>
    <tableColumn id="5" xr3:uid="{61FFDDF1-8FAF-4F44-AB53-F6F61C3EC62C}" uniqueName="5" name="rank" queryTableFieldId="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E56235A-495E-45D1-B228-CA87AEDAD500}" name="training_course_avg" displayName="training_course_avg" ref="T1:V10" tableType="queryTable" totalsRowShown="0" headerRowDxfId="0">
  <autoFilter ref="T1:V10" xr:uid="{BE56235A-495E-45D1-B228-CA87AEDAD500}"/>
  <tableColumns count="3">
    <tableColumn id="1" xr3:uid="{603CD223-5A59-409C-BD0A-E969AF519C1E}" uniqueName="1" name="course_name" queryTableFieldId="1" dataDxfId="20"/>
    <tableColumn id="2" xr3:uid="{B93810C7-3382-4C7D-92AC-8177B1C04E56}" uniqueName="2" name="participants" queryTableFieldId="2"/>
    <tableColumn id="3" xr3:uid="{F2D74F7B-7A8B-4A45-8D85-1DD860429197}" uniqueName="3" name="avg_sco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4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5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CE8E-9038-4CF9-B806-91FAF0395771}">
  <dimension ref="A1:L9"/>
  <sheetViews>
    <sheetView tabSelected="1" zoomScale="53" workbookViewId="0">
      <selection activeCell="J13" sqref="J13"/>
    </sheetView>
  </sheetViews>
  <sheetFormatPr defaultRowHeight="14.4" x14ac:dyDescent="0.3"/>
  <cols>
    <col min="1" max="1" width="26.21875" bestFit="1" customWidth="1"/>
    <col min="2" max="2" width="16" customWidth="1"/>
    <col min="4" max="4" width="27" bestFit="1" customWidth="1"/>
    <col min="5" max="5" width="24.88671875" bestFit="1" customWidth="1"/>
    <col min="8" max="8" width="12.21875" bestFit="1" customWidth="1"/>
    <col min="9" max="9" width="9.33203125" bestFit="1" customWidth="1"/>
    <col min="10" max="10" width="17.5546875" bestFit="1" customWidth="1"/>
    <col min="11" max="11" width="10.88671875" bestFit="1" customWidth="1"/>
    <col min="12" max="12" width="9.33203125" bestFit="1" customWidth="1"/>
  </cols>
  <sheetData>
    <row r="1" spans="1:12" s="7" customFormat="1" ht="21" x14ac:dyDescent="0.4">
      <c r="A1" s="7" t="s">
        <v>0</v>
      </c>
      <c r="D1" s="7" t="s">
        <v>5</v>
      </c>
      <c r="E1" s="7" t="s">
        <v>6</v>
      </c>
      <c r="H1" s="7" t="s">
        <v>15</v>
      </c>
      <c r="I1" s="7" t="s">
        <v>16</v>
      </c>
      <c r="J1" s="7" t="s">
        <v>17</v>
      </c>
      <c r="K1" s="7" t="s">
        <v>20</v>
      </c>
      <c r="L1" s="7" t="s">
        <v>16</v>
      </c>
    </row>
    <row r="2" spans="1:12" x14ac:dyDescent="0.3">
      <c r="D2" s="1" t="s">
        <v>7</v>
      </c>
      <c r="E2">
        <v>51</v>
      </c>
      <c r="H2" s="1" t="s">
        <v>18</v>
      </c>
      <c r="I2">
        <v>138</v>
      </c>
      <c r="J2">
        <v>5267</v>
      </c>
      <c r="K2" s="1" t="s">
        <v>2</v>
      </c>
      <c r="L2">
        <v>262</v>
      </c>
    </row>
    <row r="3" spans="1:12" ht="18" x14ac:dyDescent="0.35">
      <c r="A3" s="10" t="s">
        <v>1</v>
      </c>
      <c r="B3" s="10">
        <f>262</f>
        <v>262</v>
      </c>
      <c r="D3" s="1" t="s">
        <v>8</v>
      </c>
      <c r="E3">
        <v>44</v>
      </c>
      <c r="H3" s="1" t="s">
        <v>19</v>
      </c>
      <c r="I3">
        <v>124</v>
      </c>
      <c r="J3">
        <v>4733</v>
      </c>
      <c r="K3" s="1" t="s">
        <v>21</v>
      </c>
      <c r="L3">
        <v>28</v>
      </c>
    </row>
    <row r="4" spans="1:12" ht="18" x14ac:dyDescent="0.35">
      <c r="A4" s="10" t="s">
        <v>2</v>
      </c>
      <c r="B4" s="10">
        <v>262</v>
      </c>
      <c r="D4" s="1" t="s">
        <v>9</v>
      </c>
      <c r="E4">
        <v>38</v>
      </c>
      <c r="K4" s="1" t="s">
        <v>22</v>
      </c>
      <c r="L4">
        <v>10</v>
      </c>
    </row>
    <row r="5" spans="1:12" ht="18" x14ac:dyDescent="0.35">
      <c r="A5" s="10" t="s">
        <v>3</v>
      </c>
      <c r="B5" s="11">
        <f>87.33%</f>
        <v>0.87329999999999997</v>
      </c>
      <c r="D5" s="1" t="s">
        <v>10</v>
      </c>
      <c r="E5">
        <v>38</v>
      </c>
    </row>
    <row r="6" spans="1:12" ht="18" x14ac:dyDescent="0.35">
      <c r="A6" s="10" t="s">
        <v>4</v>
      </c>
      <c r="B6" s="11">
        <f>12.67%</f>
        <v>0.12670000000000001</v>
      </c>
      <c r="D6" s="1" t="s">
        <v>11</v>
      </c>
      <c r="E6">
        <v>38</v>
      </c>
    </row>
    <row r="7" spans="1:12" x14ac:dyDescent="0.3">
      <c r="D7" s="1" t="s">
        <v>12</v>
      </c>
      <c r="E7">
        <v>36</v>
      </c>
    </row>
    <row r="8" spans="1:12" x14ac:dyDescent="0.3">
      <c r="D8" s="1" t="s">
        <v>13</v>
      </c>
      <c r="E8">
        <v>28</v>
      </c>
    </row>
    <row r="9" spans="1:12" x14ac:dyDescent="0.3">
      <c r="D9" s="1" t="s">
        <v>14</v>
      </c>
      <c r="E9">
        <v>27</v>
      </c>
    </row>
  </sheetData>
  <conditionalFormatting sqref="A3:B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ED31-B112-48E7-B1A2-D6DAD738054A}">
  <dimension ref="A1:O11"/>
  <sheetViews>
    <sheetView zoomScale="52" workbookViewId="0">
      <selection activeCell="U15" sqref="U15"/>
    </sheetView>
  </sheetViews>
  <sheetFormatPr defaultRowHeight="14.4" x14ac:dyDescent="0.3"/>
  <cols>
    <col min="1" max="1" width="27.77734375" bestFit="1" customWidth="1"/>
    <col min="2" max="2" width="20.77734375" bestFit="1" customWidth="1"/>
    <col min="5" max="5" width="13.33203125" bestFit="1" customWidth="1"/>
    <col min="6" max="6" width="12.5546875" bestFit="1" customWidth="1"/>
    <col min="7" max="8" width="10" bestFit="1" customWidth="1"/>
    <col min="9" max="9" width="29.6640625" bestFit="1" customWidth="1"/>
    <col min="10" max="10" width="12.5546875" bestFit="1" customWidth="1"/>
    <col min="11" max="12" width="11.44140625" bestFit="1" customWidth="1"/>
    <col min="13" max="13" width="18.88671875" bestFit="1" customWidth="1"/>
    <col min="14" max="14" width="29.6640625" bestFit="1" customWidth="1"/>
    <col min="15" max="15" width="12.5546875" bestFit="1" customWidth="1"/>
  </cols>
  <sheetData>
    <row r="1" spans="1:15" s="6" customFormat="1" ht="21" x14ac:dyDescent="0.4">
      <c r="A1" s="6" t="s">
        <v>40</v>
      </c>
      <c r="E1" s="6" t="s">
        <v>23</v>
      </c>
      <c r="F1" s="6" t="s">
        <v>24</v>
      </c>
      <c r="I1" s="6" t="s">
        <v>5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5</v>
      </c>
      <c r="O1" s="6" t="s">
        <v>29</v>
      </c>
    </row>
    <row r="2" spans="1:15" x14ac:dyDescent="0.3">
      <c r="A2" s="1"/>
      <c r="E2" s="1" t="s">
        <v>25</v>
      </c>
      <c r="F2">
        <v>1308010687</v>
      </c>
      <c r="I2" s="1" t="s">
        <v>9</v>
      </c>
      <c r="J2">
        <v>2396624242</v>
      </c>
      <c r="K2">
        <v>129730000</v>
      </c>
      <c r="L2">
        <v>353240000</v>
      </c>
      <c r="M2" s="1" t="s">
        <v>30</v>
      </c>
      <c r="N2" s="1" t="s">
        <v>9</v>
      </c>
      <c r="O2">
        <v>353240000</v>
      </c>
    </row>
    <row r="3" spans="1:15" ht="18" x14ac:dyDescent="0.35">
      <c r="A3" s="12" t="s">
        <v>41</v>
      </c>
      <c r="B3" s="13">
        <v>13080107</v>
      </c>
      <c r="E3" s="1" t="s">
        <v>26</v>
      </c>
      <c r="F3">
        <v>38390000</v>
      </c>
      <c r="I3" s="1" t="s">
        <v>14</v>
      </c>
      <c r="J3">
        <v>1443586364</v>
      </c>
      <c r="K3">
        <v>77500000</v>
      </c>
      <c r="L3">
        <v>198280000</v>
      </c>
      <c r="M3" s="1" t="s">
        <v>31</v>
      </c>
      <c r="N3" s="1" t="s">
        <v>9</v>
      </c>
      <c r="O3">
        <v>351260000</v>
      </c>
    </row>
    <row r="4" spans="1:15" ht="18" x14ac:dyDescent="0.35">
      <c r="A4" s="12" t="s">
        <v>42</v>
      </c>
      <c r="B4" s="13">
        <v>3839000</v>
      </c>
      <c r="E4" s="1" t="s">
        <v>27</v>
      </c>
      <c r="F4">
        <v>353240000</v>
      </c>
      <c r="I4" s="1" t="s">
        <v>12</v>
      </c>
      <c r="J4">
        <v>1351793103</v>
      </c>
      <c r="K4">
        <v>80240000</v>
      </c>
      <c r="L4">
        <v>219860000</v>
      </c>
      <c r="M4" s="1" t="s">
        <v>32</v>
      </c>
      <c r="N4" s="1" t="s">
        <v>9</v>
      </c>
      <c r="O4">
        <v>346210000</v>
      </c>
    </row>
    <row r="5" spans="1:15" ht="18" x14ac:dyDescent="0.35">
      <c r="A5" s="12" t="s">
        <v>43</v>
      </c>
      <c r="B5" s="13">
        <v>35324000</v>
      </c>
      <c r="E5" s="1"/>
      <c r="I5" s="1" t="s">
        <v>8</v>
      </c>
      <c r="J5">
        <v>1319541667</v>
      </c>
      <c r="K5">
        <v>69200000</v>
      </c>
      <c r="L5">
        <v>191940000</v>
      </c>
      <c r="M5" s="1" t="s">
        <v>33</v>
      </c>
      <c r="N5" s="1" t="s">
        <v>9</v>
      </c>
      <c r="O5">
        <v>342940000</v>
      </c>
    </row>
    <row r="6" spans="1:15" x14ac:dyDescent="0.3">
      <c r="E6" s="1"/>
      <c r="I6" s="1" t="s">
        <v>10</v>
      </c>
      <c r="J6">
        <v>1242094444</v>
      </c>
      <c r="K6">
        <v>54880000</v>
      </c>
      <c r="L6">
        <v>243520000</v>
      </c>
      <c r="M6" s="1" t="s">
        <v>34</v>
      </c>
      <c r="N6" s="1" t="s">
        <v>9</v>
      </c>
      <c r="O6">
        <v>338620000</v>
      </c>
    </row>
    <row r="7" spans="1:15" x14ac:dyDescent="0.3">
      <c r="E7" s="1"/>
      <c r="I7" s="1" t="s">
        <v>13</v>
      </c>
      <c r="J7">
        <v>104570000</v>
      </c>
      <c r="K7">
        <v>41520000</v>
      </c>
      <c r="L7">
        <v>162480000</v>
      </c>
      <c r="M7" s="1" t="s">
        <v>35</v>
      </c>
      <c r="N7" s="1" t="s">
        <v>9</v>
      </c>
      <c r="O7">
        <v>331810000</v>
      </c>
    </row>
    <row r="8" spans="1:15" x14ac:dyDescent="0.3">
      <c r="E8" s="1"/>
      <c r="I8" s="1" t="s">
        <v>11</v>
      </c>
      <c r="J8">
        <v>936657143</v>
      </c>
      <c r="K8">
        <v>44530000</v>
      </c>
      <c r="L8">
        <v>189980000</v>
      </c>
      <c r="M8" s="1" t="s">
        <v>36</v>
      </c>
      <c r="N8" s="1" t="s">
        <v>9</v>
      </c>
      <c r="O8">
        <v>327130000</v>
      </c>
    </row>
    <row r="9" spans="1:15" x14ac:dyDescent="0.3">
      <c r="E9" s="1"/>
      <c r="I9" s="1" t="s">
        <v>7</v>
      </c>
      <c r="J9">
        <v>902280435</v>
      </c>
      <c r="K9">
        <v>38390000</v>
      </c>
      <c r="L9">
        <v>166460000</v>
      </c>
      <c r="M9" s="1" t="s">
        <v>37</v>
      </c>
      <c r="N9" s="1" t="s">
        <v>9</v>
      </c>
      <c r="O9">
        <v>312360000</v>
      </c>
    </row>
    <row r="10" spans="1:15" x14ac:dyDescent="0.3">
      <c r="M10" s="1" t="s">
        <v>38</v>
      </c>
      <c r="N10" s="1" t="s">
        <v>9</v>
      </c>
      <c r="O10">
        <v>311980000</v>
      </c>
    </row>
    <row r="11" spans="1:15" x14ac:dyDescent="0.3">
      <c r="M11" s="1" t="s">
        <v>39</v>
      </c>
      <c r="N11" s="1" t="s">
        <v>9</v>
      </c>
      <c r="O11">
        <v>306390000</v>
      </c>
    </row>
  </sheetData>
  <conditionalFormatting sqref="A3:B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EB8B-D6E1-4B78-A7EE-4C8D51D25C17}">
  <dimension ref="A1:N30"/>
  <sheetViews>
    <sheetView topLeftCell="A2" zoomScale="43" workbookViewId="0">
      <selection activeCell="J61" sqref="J61"/>
    </sheetView>
  </sheetViews>
  <sheetFormatPr defaultRowHeight="14.4" x14ac:dyDescent="0.3"/>
  <cols>
    <col min="1" max="1" width="34.33203125" bestFit="1" customWidth="1"/>
    <col min="2" max="2" width="14" customWidth="1"/>
    <col min="5" max="5" width="12.44140625" bestFit="1" customWidth="1"/>
    <col min="6" max="6" width="10.6640625" bestFit="1" customWidth="1"/>
    <col min="7" max="7" width="19.33203125" bestFit="1" customWidth="1"/>
    <col min="9" max="9" width="13.88671875" bestFit="1" customWidth="1"/>
    <col min="10" max="10" width="16.44140625" bestFit="1" customWidth="1"/>
    <col min="11" max="11" width="10.6640625" bestFit="1" customWidth="1"/>
    <col min="12" max="12" width="21.6640625" bestFit="1" customWidth="1"/>
    <col min="13" max="13" width="17.109375" bestFit="1" customWidth="1"/>
    <col min="14" max="14" width="18.44140625" bestFit="1" customWidth="1"/>
  </cols>
  <sheetData>
    <row r="1" spans="1:14" s="6" customFormat="1" ht="21" x14ac:dyDescent="0.4">
      <c r="A1" s="6" t="s">
        <v>44</v>
      </c>
      <c r="E1" s="6" t="s">
        <v>20</v>
      </c>
      <c r="F1" s="6" t="s">
        <v>16</v>
      </c>
      <c r="G1" s="6" t="s">
        <v>17</v>
      </c>
      <c r="I1" s="6" t="s">
        <v>52</v>
      </c>
      <c r="J1" s="6" t="s">
        <v>20</v>
      </c>
      <c r="K1" s="6" t="s">
        <v>16</v>
      </c>
      <c r="L1" s="6" t="s">
        <v>53</v>
      </c>
      <c r="M1" s="6" t="s">
        <v>54</v>
      </c>
      <c r="N1" s="6" t="s">
        <v>28</v>
      </c>
    </row>
    <row r="2" spans="1:14" x14ac:dyDescent="0.3">
      <c r="E2" s="1" t="s">
        <v>48</v>
      </c>
      <c r="F2">
        <v>22178</v>
      </c>
      <c r="G2">
        <v>7865</v>
      </c>
      <c r="I2" s="2">
        <v>45658</v>
      </c>
      <c r="J2" s="1" t="s">
        <v>51</v>
      </c>
      <c r="K2">
        <v>337</v>
      </c>
      <c r="L2">
        <v>228</v>
      </c>
      <c r="M2">
        <v>36</v>
      </c>
      <c r="N2" s="1" t="s">
        <v>55</v>
      </c>
    </row>
    <row r="3" spans="1:14" ht="18" x14ac:dyDescent="0.35">
      <c r="A3" s="10" t="s">
        <v>45</v>
      </c>
      <c r="B3" s="11">
        <f>78.65%</f>
        <v>0.78650000000000009</v>
      </c>
      <c r="E3" s="1" t="s">
        <v>49</v>
      </c>
      <c r="F3">
        <v>2663</v>
      </c>
      <c r="G3">
        <v>944</v>
      </c>
      <c r="I3" s="2">
        <v>45658</v>
      </c>
      <c r="J3" s="1" t="s">
        <v>50</v>
      </c>
      <c r="K3">
        <v>477</v>
      </c>
      <c r="L3">
        <v>229</v>
      </c>
      <c r="M3">
        <v>35</v>
      </c>
      <c r="N3" s="1" t="s">
        <v>56</v>
      </c>
    </row>
    <row r="4" spans="1:14" ht="18" x14ac:dyDescent="0.35">
      <c r="A4" s="10" t="s">
        <v>46</v>
      </c>
      <c r="B4" s="11">
        <f>9.44%</f>
        <v>9.4399999999999998E-2</v>
      </c>
      <c r="E4" s="1" t="s">
        <v>50</v>
      </c>
      <c r="F4">
        <v>1936</v>
      </c>
      <c r="G4">
        <v>687</v>
      </c>
      <c r="I4" s="2">
        <v>45658</v>
      </c>
      <c r="J4" s="1" t="s">
        <v>48</v>
      </c>
      <c r="K4">
        <v>5431</v>
      </c>
      <c r="L4">
        <v>178</v>
      </c>
      <c r="M4">
        <v>35</v>
      </c>
      <c r="N4" s="1" t="s">
        <v>57</v>
      </c>
    </row>
    <row r="5" spans="1:14" ht="18" x14ac:dyDescent="0.35">
      <c r="A5" s="10" t="s">
        <v>47</v>
      </c>
      <c r="B5" s="11">
        <f>5.05%</f>
        <v>5.0499999999999996E-2</v>
      </c>
      <c r="E5" s="1" t="s">
        <v>51</v>
      </c>
      <c r="F5">
        <v>1423</v>
      </c>
      <c r="G5">
        <v>505</v>
      </c>
      <c r="I5" s="2">
        <v>45658</v>
      </c>
      <c r="J5" s="1" t="s">
        <v>49</v>
      </c>
      <c r="K5">
        <v>655</v>
      </c>
      <c r="L5">
        <v>111</v>
      </c>
      <c r="M5">
        <v>34</v>
      </c>
      <c r="N5" s="1" t="s">
        <v>58</v>
      </c>
    </row>
    <row r="6" spans="1:14" x14ac:dyDescent="0.3">
      <c r="I6" s="2">
        <v>45689</v>
      </c>
      <c r="J6" s="1" t="s">
        <v>51</v>
      </c>
      <c r="K6">
        <v>318</v>
      </c>
      <c r="L6">
        <v>12</v>
      </c>
      <c r="M6">
        <v>34</v>
      </c>
      <c r="N6" s="1" t="s">
        <v>59</v>
      </c>
    </row>
    <row r="7" spans="1:14" x14ac:dyDescent="0.3">
      <c r="I7" s="2">
        <v>45689</v>
      </c>
      <c r="J7" s="1" t="s">
        <v>50</v>
      </c>
      <c r="K7">
        <v>413</v>
      </c>
      <c r="L7">
        <v>70</v>
      </c>
      <c r="M7">
        <v>33</v>
      </c>
      <c r="N7" s="1" t="s">
        <v>60</v>
      </c>
    </row>
    <row r="8" spans="1:14" x14ac:dyDescent="0.3">
      <c r="I8" s="2">
        <v>45689</v>
      </c>
      <c r="J8" s="1" t="s">
        <v>48</v>
      </c>
      <c r="K8">
        <v>4721</v>
      </c>
      <c r="L8">
        <v>140</v>
      </c>
      <c r="M8">
        <v>33</v>
      </c>
      <c r="N8" s="1" t="s">
        <v>61</v>
      </c>
    </row>
    <row r="9" spans="1:14" x14ac:dyDescent="0.3">
      <c r="I9" s="2">
        <v>45689</v>
      </c>
      <c r="J9" s="1" t="s">
        <v>49</v>
      </c>
      <c r="K9">
        <v>548</v>
      </c>
      <c r="L9">
        <v>182</v>
      </c>
      <c r="M9">
        <v>33</v>
      </c>
      <c r="N9" s="1" t="s">
        <v>62</v>
      </c>
    </row>
    <row r="10" spans="1:14" x14ac:dyDescent="0.3">
      <c r="I10" s="2">
        <v>45717</v>
      </c>
      <c r="J10" s="1" t="s">
        <v>51</v>
      </c>
      <c r="K10">
        <v>323</v>
      </c>
      <c r="L10">
        <v>199</v>
      </c>
      <c r="M10">
        <v>33</v>
      </c>
      <c r="N10" s="1" t="s">
        <v>63</v>
      </c>
    </row>
    <row r="11" spans="1:14" x14ac:dyDescent="0.3">
      <c r="I11" s="2">
        <v>45717</v>
      </c>
      <c r="J11" s="1" t="s">
        <v>50</v>
      </c>
      <c r="K11">
        <v>422</v>
      </c>
      <c r="L11">
        <v>41</v>
      </c>
      <c r="M11">
        <v>33</v>
      </c>
      <c r="N11" s="1" t="s">
        <v>64</v>
      </c>
    </row>
    <row r="12" spans="1:14" x14ac:dyDescent="0.3">
      <c r="I12" s="2">
        <v>45717</v>
      </c>
      <c r="J12" s="1" t="s">
        <v>48</v>
      </c>
      <c r="K12">
        <v>4945</v>
      </c>
    </row>
    <row r="13" spans="1:14" x14ac:dyDescent="0.3">
      <c r="I13" s="2">
        <v>45717</v>
      </c>
      <c r="J13" s="1" t="s">
        <v>49</v>
      </c>
      <c r="K13">
        <v>610</v>
      </c>
    </row>
    <row r="14" spans="1:14" x14ac:dyDescent="0.3">
      <c r="I14" s="2">
        <v>45748</v>
      </c>
      <c r="J14" s="1" t="s">
        <v>51</v>
      </c>
      <c r="K14">
        <v>306</v>
      </c>
    </row>
    <row r="15" spans="1:14" x14ac:dyDescent="0.3">
      <c r="I15" s="2">
        <v>45748</v>
      </c>
      <c r="J15" s="1" t="s">
        <v>50</v>
      </c>
      <c r="K15">
        <v>455</v>
      </c>
    </row>
    <row r="16" spans="1:14" x14ac:dyDescent="0.3">
      <c r="I16" s="2">
        <v>45748</v>
      </c>
      <c r="J16" s="1" t="s">
        <v>48</v>
      </c>
      <c r="K16">
        <v>5237</v>
      </c>
    </row>
    <row r="17" spans="9:14" x14ac:dyDescent="0.3">
      <c r="I17" s="2">
        <v>45748</v>
      </c>
      <c r="J17" s="1" t="s">
        <v>49</v>
      </c>
      <c r="K17">
        <v>602</v>
      </c>
    </row>
    <row r="18" spans="9:14" x14ac:dyDescent="0.3">
      <c r="I18" s="2">
        <v>45778</v>
      </c>
      <c r="J18" s="1" t="s">
        <v>51</v>
      </c>
      <c r="K18">
        <v>139</v>
      </c>
    </row>
    <row r="19" spans="9:14" x14ac:dyDescent="0.3">
      <c r="I19" s="2">
        <v>45778</v>
      </c>
      <c r="J19" s="1" t="s">
        <v>50</v>
      </c>
      <c r="K19">
        <v>169</v>
      </c>
    </row>
    <row r="20" spans="9:14" x14ac:dyDescent="0.3">
      <c r="I20" s="2">
        <v>45778</v>
      </c>
      <c r="J20" s="1" t="s">
        <v>48</v>
      </c>
      <c r="K20">
        <v>1844</v>
      </c>
    </row>
    <row r="21" spans="9:14" x14ac:dyDescent="0.3">
      <c r="I21" s="2">
        <v>45778</v>
      </c>
      <c r="J21" s="1" t="s">
        <v>49</v>
      </c>
      <c r="K21">
        <v>248</v>
      </c>
    </row>
    <row r="23" spans="9:14" x14ac:dyDescent="0.3">
      <c r="I23" s="3" t="s">
        <v>73</v>
      </c>
      <c r="J23" s="3" t="s">
        <v>72</v>
      </c>
    </row>
    <row r="24" spans="9:14" x14ac:dyDescent="0.3">
      <c r="I24" s="3" t="s">
        <v>65</v>
      </c>
      <c r="J24" t="s">
        <v>51</v>
      </c>
      <c r="K24" t="s">
        <v>50</v>
      </c>
      <c r="L24" t="s">
        <v>48</v>
      </c>
      <c r="M24" t="s">
        <v>49</v>
      </c>
      <c r="N24" t="s">
        <v>66</v>
      </c>
    </row>
    <row r="25" spans="9:14" x14ac:dyDescent="0.3">
      <c r="I25" s="4" t="s">
        <v>67</v>
      </c>
      <c r="J25" s="1">
        <v>337</v>
      </c>
      <c r="K25" s="1">
        <v>477</v>
      </c>
      <c r="L25" s="1">
        <v>5431</v>
      </c>
      <c r="M25" s="1">
        <v>655</v>
      </c>
      <c r="N25" s="1">
        <v>6900</v>
      </c>
    </row>
    <row r="26" spans="9:14" x14ac:dyDescent="0.3">
      <c r="I26" s="4" t="s">
        <v>68</v>
      </c>
      <c r="J26" s="1">
        <v>318</v>
      </c>
      <c r="K26" s="1">
        <v>413</v>
      </c>
      <c r="L26" s="1">
        <v>4721</v>
      </c>
      <c r="M26" s="1">
        <v>548</v>
      </c>
      <c r="N26" s="1">
        <v>6000</v>
      </c>
    </row>
    <row r="27" spans="9:14" x14ac:dyDescent="0.3">
      <c r="I27" s="4" t="s">
        <v>69</v>
      </c>
      <c r="J27" s="1">
        <v>323</v>
      </c>
      <c r="K27" s="1">
        <v>422</v>
      </c>
      <c r="L27" s="1">
        <v>4945</v>
      </c>
      <c r="M27" s="1">
        <v>610</v>
      </c>
      <c r="N27" s="1">
        <v>6300</v>
      </c>
    </row>
    <row r="28" spans="9:14" x14ac:dyDescent="0.3">
      <c r="I28" s="4" t="s">
        <v>70</v>
      </c>
      <c r="J28" s="1">
        <v>306</v>
      </c>
      <c r="K28" s="1">
        <v>455</v>
      </c>
      <c r="L28" s="1">
        <v>5237</v>
      </c>
      <c r="M28" s="1">
        <v>602</v>
      </c>
      <c r="N28" s="1">
        <v>6600</v>
      </c>
    </row>
    <row r="29" spans="9:14" x14ac:dyDescent="0.3">
      <c r="I29" s="4" t="s">
        <v>71</v>
      </c>
      <c r="J29" s="1">
        <v>139</v>
      </c>
      <c r="K29" s="1">
        <v>169</v>
      </c>
      <c r="L29" s="1">
        <v>1844</v>
      </c>
      <c r="M29" s="1">
        <v>248</v>
      </c>
      <c r="N29" s="1">
        <v>2400</v>
      </c>
    </row>
    <row r="30" spans="9:14" x14ac:dyDescent="0.3">
      <c r="I30" s="4" t="s">
        <v>66</v>
      </c>
      <c r="J30" s="1">
        <v>1423</v>
      </c>
      <c r="K30" s="1">
        <v>1936</v>
      </c>
      <c r="L30" s="1">
        <v>22178</v>
      </c>
      <c r="M30" s="1">
        <v>2663</v>
      </c>
      <c r="N30" s="1">
        <v>28200</v>
      </c>
    </row>
  </sheetData>
  <conditionalFormatting sqref="A3:B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1301-2DDF-4A61-BE33-0FBE676849ED}">
  <dimension ref="A1:M6"/>
  <sheetViews>
    <sheetView topLeftCell="B6" zoomScale="51" workbookViewId="0">
      <selection activeCell="K35" sqref="K35"/>
    </sheetView>
  </sheetViews>
  <sheetFormatPr defaultRowHeight="14.4" x14ac:dyDescent="0.3"/>
  <cols>
    <col min="1" max="1" width="34.33203125" bestFit="1" customWidth="1"/>
    <col min="2" max="2" width="12.88671875" customWidth="1"/>
    <col min="5" max="5" width="11.77734375" bestFit="1" customWidth="1"/>
    <col min="6" max="6" width="17.88671875" bestFit="1" customWidth="1"/>
    <col min="8" max="8" width="16.109375" bestFit="1" customWidth="1"/>
    <col min="9" max="9" width="10.21875" bestFit="1" customWidth="1"/>
    <col min="10" max="10" width="10.77734375" bestFit="1" customWidth="1"/>
    <col min="11" max="11" width="27.109375" bestFit="1" customWidth="1"/>
    <col min="12" max="12" width="16" bestFit="1" customWidth="1"/>
    <col min="13" max="13" width="10.88671875" bestFit="1" customWidth="1"/>
  </cols>
  <sheetData>
    <row r="1" spans="1:13" s="8" customFormat="1" ht="21" x14ac:dyDescent="0.4">
      <c r="A1" s="8" t="s">
        <v>74</v>
      </c>
      <c r="E1" s="8" t="s">
        <v>20</v>
      </c>
      <c r="F1" s="8" t="s">
        <v>79</v>
      </c>
      <c r="H1" s="8" t="s">
        <v>83</v>
      </c>
      <c r="I1" s="8" t="s">
        <v>16</v>
      </c>
      <c r="J1" s="8" t="s">
        <v>84</v>
      </c>
      <c r="K1" s="8" t="s">
        <v>85</v>
      </c>
      <c r="L1" s="8" t="s">
        <v>23</v>
      </c>
      <c r="M1" s="8" t="s">
        <v>24</v>
      </c>
    </row>
    <row r="2" spans="1:13" x14ac:dyDescent="0.3">
      <c r="E2" s="1" t="s">
        <v>80</v>
      </c>
      <c r="F2">
        <v>16</v>
      </c>
      <c r="H2" s="1" t="s">
        <v>86</v>
      </c>
      <c r="I2">
        <v>46</v>
      </c>
      <c r="J2">
        <v>20</v>
      </c>
      <c r="K2">
        <v>4348</v>
      </c>
      <c r="L2" s="1" t="s">
        <v>91</v>
      </c>
      <c r="M2" s="5">
        <v>360</v>
      </c>
    </row>
    <row r="3" spans="1:13" ht="18" x14ac:dyDescent="0.35">
      <c r="A3" s="10" t="s">
        <v>75</v>
      </c>
      <c r="B3" s="10">
        <f>224</f>
        <v>224</v>
      </c>
      <c r="E3" s="1" t="s">
        <v>81</v>
      </c>
      <c r="F3">
        <v>32</v>
      </c>
      <c r="H3" s="1" t="s">
        <v>87</v>
      </c>
      <c r="I3">
        <v>30</v>
      </c>
      <c r="J3">
        <v>11</v>
      </c>
      <c r="K3">
        <v>3667</v>
      </c>
    </row>
    <row r="4" spans="1:13" ht="18" x14ac:dyDescent="0.35">
      <c r="A4" s="10" t="s">
        <v>76</v>
      </c>
      <c r="B4" s="10">
        <f>65</f>
        <v>65</v>
      </c>
      <c r="E4" s="1" t="s">
        <v>76</v>
      </c>
      <c r="F4">
        <v>65</v>
      </c>
      <c r="H4" s="1" t="s">
        <v>88</v>
      </c>
      <c r="I4">
        <v>67</v>
      </c>
      <c r="J4">
        <v>19</v>
      </c>
      <c r="K4">
        <v>2836</v>
      </c>
    </row>
    <row r="5" spans="1:13" ht="18" x14ac:dyDescent="0.35">
      <c r="A5" s="10" t="s">
        <v>77</v>
      </c>
      <c r="B5" s="14">
        <f>29%</f>
        <v>0.28999999999999998</v>
      </c>
      <c r="E5" s="1" t="s">
        <v>82</v>
      </c>
      <c r="F5">
        <v>111</v>
      </c>
      <c r="H5" s="1" t="s">
        <v>89</v>
      </c>
      <c r="I5">
        <v>18</v>
      </c>
      <c r="J5">
        <v>4</v>
      </c>
      <c r="K5">
        <v>2222</v>
      </c>
    </row>
    <row r="6" spans="1:13" ht="18" x14ac:dyDescent="0.35">
      <c r="A6" s="10" t="s">
        <v>78</v>
      </c>
      <c r="B6" s="10">
        <f>37</f>
        <v>37</v>
      </c>
      <c r="H6" s="1" t="s">
        <v>90</v>
      </c>
      <c r="I6">
        <v>63</v>
      </c>
      <c r="J6">
        <v>11</v>
      </c>
      <c r="K6">
        <v>1746</v>
      </c>
    </row>
  </sheetData>
  <conditionalFormatting sqref="A3:B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212F-BB50-4E3F-84AA-4B58E4232115}">
  <dimension ref="A1:V11"/>
  <sheetViews>
    <sheetView topLeftCell="K24" zoomScale="76" workbookViewId="0">
      <selection activeCell="P42" sqref="P42"/>
    </sheetView>
  </sheetViews>
  <sheetFormatPr defaultRowHeight="14.4" x14ac:dyDescent="0.3"/>
  <cols>
    <col min="1" max="1" width="35.88671875" bestFit="1" customWidth="1"/>
    <col min="2" max="2" width="9.6640625" customWidth="1"/>
    <col min="5" max="5" width="11.6640625" bestFit="1" customWidth="1"/>
    <col min="6" max="6" width="15.5546875" bestFit="1" customWidth="1"/>
    <col min="7" max="7" width="22.88671875" bestFit="1" customWidth="1"/>
    <col min="9" max="9" width="20" bestFit="1" customWidth="1"/>
    <col min="10" max="10" width="17.88671875" bestFit="1" customWidth="1"/>
    <col min="11" max="11" width="27.109375" bestFit="1" customWidth="1"/>
    <col min="12" max="12" width="13" bestFit="1" customWidth="1"/>
    <col min="13" max="13" width="9" bestFit="1" customWidth="1"/>
    <col min="14" max="14" width="20" bestFit="1" customWidth="1"/>
    <col min="15" max="15" width="16.109375" bestFit="1" customWidth="1"/>
    <col min="16" max="16" width="27.109375" bestFit="1" customWidth="1"/>
    <col min="17" max="17" width="13" bestFit="1" customWidth="1"/>
    <col min="18" max="18" width="9" bestFit="1" customWidth="1"/>
    <col min="20" max="20" width="20.44140625" bestFit="1" customWidth="1"/>
    <col min="21" max="21" width="18.33203125" bestFit="1" customWidth="1"/>
    <col min="22" max="22" width="16.109375" bestFit="1" customWidth="1"/>
  </cols>
  <sheetData>
    <row r="1" spans="1:22" s="6" customFormat="1" ht="21" x14ac:dyDescent="0.4">
      <c r="A1" s="6" t="s">
        <v>92</v>
      </c>
      <c r="E1" s="6" t="s">
        <v>96</v>
      </c>
      <c r="F1" s="9" t="s">
        <v>97</v>
      </c>
      <c r="G1" s="9" t="s">
        <v>98</v>
      </c>
      <c r="I1" s="6" t="s">
        <v>53</v>
      </c>
      <c r="J1" s="6" t="s">
        <v>28</v>
      </c>
      <c r="K1" s="6" t="s">
        <v>5</v>
      </c>
      <c r="L1" s="6" t="s">
        <v>104</v>
      </c>
      <c r="M1" s="6" t="s">
        <v>105</v>
      </c>
      <c r="N1" s="6" t="s">
        <v>53</v>
      </c>
      <c r="O1" s="6" t="s">
        <v>28</v>
      </c>
      <c r="P1" s="6" t="s">
        <v>5</v>
      </c>
      <c r="Q1" s="6" t="s">
        <v>104</v>
      </c>
      <c r="R1" s="6" t="s">
        <v>105</v>
      </c>
      <c r="T1" s="6" t="s">
        <v>126</v>
      </c>
      <c r="U1" s="6" t="s">
        <v>127</v>
      </c>
      <c r="V1" s="6" t="s">
        <v>128</v>
      </c>
    </row>
    <row r="2" spans="1:22" x14ac:dyDescent="0.3">
      <c r="E2" s="1" t="s">
        <v>99</v>
      </c>
      <c r="F2" s="1">
        <v>75.209999999999994</v>
      </c>
      <c r="G2" s="1">
        <v>74.98</v>
      </c>
      <c r="I2">
        <v>273</v>
      </c>
      <c r="J2" s="1" t="s">
        <v>106</v>
      </c>
      <c r="K2" s="1" t="s">
        <v>8</v>
      </c>
      <c r="L2">
        <v>10000</v>
      </c>
      <c r="M2">
        <v>1</v>
      </c>
      <c r="N2">
        <v>157</v>
      </c>
      <c r="O2" s="1" t="s">
        <v>116</v>
      </c>
      <c r="P2" s="1" t="s">
        <v>8</v>
      </c>
      <c r="Q2">
        <v>3971</v>
      </c>
      <c r="R2">
        <v>252</v>
      </c>
      <c r="T2" s="1" t="s">
        <v>129</v>
      </c>
      <c r="U2">
        <v>228</v>
      </c>
      <c r="V2">
        <v>8219</v>
      </c>
    </row>
    <row r="3" spans="1:22" ht="18" x14ac:dyDescent="0.35">
      <c r="A3" s="10" t="s">
        <v>93</v>
      </c>
      <c r="B3" s="10" t="s">
        <v>103</v>
      </c>
      <c r="E3" s="1" t="s">
        <v>100</v>
      </c>
      <c r="F3" s="1">
        <v>75.45</v>
      </c>
      <c r="G3" s="1">
        <v>75.150000000000006</v>
      </c>
      <c r="I3">
        <v>36</v>
      </c>
      <c r="J3" s="1" t="s">
        <v>107</v>
      </c>
      <c r="K3" s="1" t="s">
        <v>10</v>
      </c>
      <c r="L3">
        <v>10000</v>
      </c>
      <c r="M3">
        <v>1</v>
      </c>
      <c r="N3">
        <v>100</v>
      </c>
      <c r="O3" s="1" t="s">
        <v>117</v>
      </c>
      <c r="P3" s="1" t="s">
        <v>9</v>
      </c>
      <c r="Q3">
        <v>4596</v>
      </c>
      <c r="R3">
        <v>251</v>
      </c>
      <c r="T3" s="1" t="s">
        <v>130</v>
      </c>
      <c r="U3">
        <v>160</v>
      </c>
      <c r="V3">
        <v>8106</v>
      </c>
    </row>
    <row r="4" spans="1:22" ht="18" x14ac:dyDescent="0.35">
      <c r="A4" s="10" t="s">
        <v>94</v>
      </c>
      <c r="B4" s="10">
        <f>1000</f>
        <v>1000</v>
      </c>
      <c r="E4" s="1" t="s">
        <v>101</v>
      </c>
      <c r="F4" s="1">
        <v>75.22</v>
      </c>
      <c r="G4" s="1">
        <v>75.319999999999993</v>
      </c>
      <c r="I4">
        <v>166</v>
      </c>
      <c r="J4" s="1" t="s">
        <v>108</v>
      </c>
      <c r="K4" s="1" t="s">
        <v>7</v>
      </c>
      <c r="L4">
        <v>10000</v>
      </c>
      <c r="M4">
        <v>1</v>
      </c>
      <c r="N4">
        <v>137</v>
      </c>
      <c r="O4" s="1" t="s">
        <v>118</v>
      </c>
      <c r="P4" s="1" t="s">
        <v>12</v>
      </c>
      <c r="Q4">
        <v>5054</v>
      </c>
      <c r="R4">
        <v>250</v>
      </c>
      <c r="T4" s="1" t="s">
        <v>131</v>
      </c>
      <c r="U4">
        <v>168</v>
      </c>
      <c r="V4">
        <v>8101</v>
      </c>
    </row>
    <row r="5" spans="1:22" ht="18" x14ac:dyDescent="0.35">
      <c r="A5" s="10" t="s">
        <v>95</v>
      </c>
      <c r="B5" s="10">
        <v>777</v>
      </c>
      <c r="E5" s="1" t="s">
        <v>102</v>
      </c>
      <c r="F5" s="1">
        <v>75.64</v>
      </c>
      <c r="G5" s="1">
        <v>74.92</v>
      </c>
      <c r="I5">
        <v>198</v>
      </c>
      <c r="J5" s="1" t="s">
        <v>109</v>
      </c>
      <c r="K5" s="1" t="s">
        <v>9</v>
      </c>
      <c r="L5">
        <v>10000</v>
      </c>
      <c r="M5">
        <v>1</v>
      </c>
      <c r="N5">
        <v>151</v>
      </c>
      <c r="O5" s="1" t="s">
        <v>119</v>
      </c>
      <c r="P5" s="1" t="s">
        <v>12</v>
      </c>
      <c r="Q5">
        <v>5163</v>
      </c>
      <c r="R5">
        <v>249</v>
      </c>
      <c r="T5" s="1" t="s">
        <v>132</v>
      </c>
      <c r="U5">
        <v>208</v>
      </c>
      <c r="V5">
        <v>8041</v>
      </c>
    </row>
    <row r="6" spans="1:22" x14ac:dyDescent="0.3">
      <c r="I6">
        <v>244</v>
      </c>
      <c r="J6" s="1" t="s">
        <v>110</v>
      </c>
      <c r="K6" s="1" t="s">
        <v>7</v>
      </c>
      <c r="L6">
        <v>9790</v>
      </c>
      <c r="M6">
        <v>2</v>
      </c>
      <c r="N6">
        <v>291</v>
      </c>
      <c r="O6" s="1" t="s">
        <v>120</v>
      </c>
      <c r="P6" s="1" t="s">
        <v>13</v>
      </c>
      <c r="Q6">
        <v>5224</v>
      </c>
      <c r="R6">
        <v>248</v>
      </c>
      <c r="T6" s="1" t="s">
        <v>133</v>
      </c>
      <c r="U6">
        <v>180</v>
      </c>
      <c r="V6">
        <v>7995</v>
      </c>
    </row>
    <row r="7" spans="1:22" x14ac:dyDescent="0.3">
      <c r="I7">
        <v>39</v>
      </c>
      <c r="J7" s="1" t="s">
        <v>111</v>
      </c>
      <c r="K7" s="1" t="s">
        <v>13</v>
      </c>
      <c r="L7">
        <v>9565</v>
      </c>
      <c r="M7">
        <v>3</v>
      </c>
      <c r="N7">
        <v>277</v>
      </c>
      <c r="O7" s="1" t="s">
        <v>121</v>
      </c>
      <c r="P7" s="1" t="s">
        <v>12</v>
      </c>
      <c r="Q7">
        <v>531</v>
      </c>
      <c r="R7">
        <v>247</v>
      </c>
      <c r="T7" s="1" t="s">
        <v>134</v>
      </c>
      <c r="U7">
        <v>160</v>
      </c>
      <c r="V7">
        <v>797</v>
      </c>
    </row>
    <row r="8" spans="1:22" x14ac:dyDescent="0.3">
      <c r="I8">
        <v>200</v>
      </c>
      <c r="J8" s="1" t="s">
        <v>112</v>
      </c>
      <c r="K8" s="1" t="s">
        <v>9</v>
      </c>
      <c r="L8">
        <v>9528</v>
      </c>
      <c r="M8">
        <v>4</v>
      </c>
      <c r="N8">
        <v>234</v>
      </c>
      <c r="O8" s="1" t="s">
        <v>122</v>
      </c>
      <c r="P8" s="1" t="s">
        <v>7</v>
      </c>
      <c r="Q8">
        <v>5417</v>
      </c>
      <c r="R8">
        <v>246</v>
      </c>
      <c r="T8" s="1" t="s">
        <v>135</v>
      </c>
      <c r="U8">
        <v>212</v>
      </c>
      <c r="V8">
        <v>7926</v>
      </c>
    </row>
    <row r="9" spans="1:22" x14ac:dyDescent="0.3">
      <c r="I9">
        <v>27</v>
      </c>
      <c r="J9" s="1" t="s">
        <v>113</v>
      </c>
      <c r="K9" s="1" t="s">
        <v>9</v>
      </c>
      <c r="L9">
        <v>9513</v>
      </c>
      <c r="M9">
        <v>5</v>
      </c>
      <c r="N9">
        <v>264</v>
      </c>
      <c r="O9" s="1" t="s">
        <v>123</v>
      </c>
      <c r="P9" s="1" t="s">
        <v>14</v>
      </c>
      <c r="Q9">
        <v>5478</v>
      </c>
      <c r="R9">
        <v>245</v>
      </c>
      <c r="T9" s="1" t="s">
        <v>136</v>
      </c>
      <c r="U9">
        <v>208</v>
      </c>
      <c r="V9">
        <v>777</v>
      </c>
    </row>
    <row r="10" spans="1:22" x14ac:dyDescent="0.3">
      <c r="I10">
        <v>139</v>
      </c>
      <c r="J10" s="1" t="s">
        <v>114</v>
      </c>
      <c r="K10" s="1" t="s">
        <v>12</v>
      </c>
      <c r="L10">
        <v>9474</v>
      </c>
      <c r="M10">
        <v>6</v>
      </c>
      <c r="N10">
        <v>64</v>
      </c>
      <c r="O10" s="1" t="s">
        <v>124</v>
      </c>
      <c r="P10" s="1" t="s">
        <v>13</v>
      </c>
      <c r="Q10">
        <v>562</v>
      </c>
      <c r="R10">
        <v>244</v>
      </c>
      <c r="T10" s="1" t="s">
        <v>137</v>
      </c>
      <c r="U10">
        <v>256</v>
      </c>
      <c r="V10">
        <v>7747</v>
      </c>
    </row>
    <row r="11" spans="1:22" x14ac:dyDescent="0.3">
      <c r="I11">
        <v>205</v>
      </c>
      <c r="J11" s="1" t="s">
        <v>115</v>
      </c>
      <c r="K11" s="1" t="s">
        <v>14</v>
      </c>
      <c r="L11">
        <v>9396</v>
      </c>
      <c r="M11">
        <v>7</v>
      </c>
      <c r="N11">
        <v>107</v>
      </c>
      <c r="O11" s="1" t="s">
        <v>125</v>
      </c>
      <c r="P11" s="1" t="s">
        <v>7</v>
      </c>
      <c r="Q11">
        <v>563</v>
      </c>
      <c r="R11">
        <v>243</v>
      </c>
    </row>
  </sheetData>
  <conditionalFormatting sqref="A3:B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01348D-E321-4D12-8158-A6E23490F2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Overview </vt:lpstr>
      <vt:lpstr>Payroll</vt:lpstr>
      <vt:lpstr>Attendance</vt:lpstr>
      <vt:lpstr>Recruitment</vt:lpstr>
      <vt:lpstr>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caesario gumilang</dc:creator>
  <cp:lastModifiedBy>caesario gumilang</cp:lastModifiedBy>
  <dcterms:created xsi:type="dcterms:W3CDTF">2026-07-21T15:54:14Z</dcterms:created>
  <dcterms:modified xsi:type="dcterms:W3CDTF">2026-07-22T16:16:32Z</dcterms:modified>
</cp:coreProperties>
</file>